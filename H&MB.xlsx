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Desktop\"/>
    </mc:Choice>
  </mc:AlternateContent>
  <xr:revisionPtr revIDLastSave="0" documentId="13_ncr:1_{7B2616EE-36C1-45FC-955D-795825934559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xx" sheetId="11" r:id="rId1"/>
    <sheet name="BFD" sheetId="16" r:id="rId2"/>
    <sheet name="Enthalpy Balance" sheetId="19" r:id="rId3"/>
    <sheet name="Utility Calculation" sheetId="18" r:id="rId4"/>
    <sheet name="RM Data" sheetId="13" r:id="rId5"/>
  </sheets>
  <definedNames>
    <definedName name="_xlnm._FilterDatabase" localSheetId="0" hidden="1">xx!$C$8:$C$95</definedName>
    <definedName name="_xlnm.Print_Area" localSheetId="1">BFD!$A$1:$R$136</definedName>
    <definedName name="_xlnm.Print_Area" localSheetId="2">'Enthalpy Balance'!$A$1:$O$816</definedName>
    <definedName name="_xlnm.Print_Area" localSheetId="4">'RM Data'!$A$1:$X$24</definedName>
    <definedName name="_xlnm.Print_Area" localSheetId="0">xx!$A$1:$AI$128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1" i="19" l="1"/>
  <c r="D775" i="19" l="1"/>
  <c r="D707" i="19"/>
  <c r="D488" i="19"/>
  <c r="D470" i="19"/>
  <c r="D452" i="19"/>
  <c r="D434" i="19"/>
  <c r="D416" i="19"/>
  <c r="D398" i="19"/>
  <c r="D319" i="19"/>
  <c r="D204" i="19"/>
  <c r="D171" i="19"/>
  <c r="D155" i="19"/>
  <c r="D139" i="19"/>
  <c r="D123" i="19"/>
  <c r="H578" i="19"/>
  <c r="P62" i="18" l="1"/>
  <c r="N61" i="18"/>
  <c r="L60" i="18"/>
  <c r="I59" i="18"/>
  <c r="J59" i="18" s="1"/>
  <c r="P46" i="18"/>
  <c r="P45" i="18"/>
  <c r="N44" i="18"/>
  <c r="L43" i="18"/>
  <c r="H647" i="19" l="1"/>
  <c r="H641" i="19"/>
  <c r="H640" i="19"/>
  <c r="H639" i="19"/>
  <c r="H638" i="19"/>
  <c r="D637" i="19"/>
  <c r="H633" i="19"/>
  <c r="H627" i="19"/>
  <c r="H626" i="19"/>
  <c r="H625" i="19"/>
  <c r="H624" i="19"/>
  <c r="D623" i="19"/>
  <c r="H661" i="19"/>
  <c r="L619" i="19" s="1"/>
  <c r="H655" i="19"/>
  <c r="H654" i="19"/>
  <c r="H653" i="19"/>
  <c r="H652" i="19"/>
  <c r="D651" i="19"/>
  <c r="H615" i="19"/>
  <c r="L601" i="19" s="1"/>
  <c r="H609" i="19"/>
  <c r="H608" i="19"/>
  <c r="H607" i="19"/>
  <c r="H606" i="19"/>
  <c r="D605" i="19"/>
  <c r="H601" i="19"/>
  <c r="H597" i="19"/>
  <c r="L583" i="19" s="1"/>
  <c r="H591" i="19"/>
  <c r="H590" i="19"/>
  <c r="H589" i="19"/>
  <c r="H588" i="19"/>
  <c r="D587" i="19"/>
  <c r="H583" i="19"/>
  <c r="L564" i="19"/>
  <c r="H572" i="19"/>
  <c r="H571" i="19"/>
  <c r="H570" i="19"/>
  <c r="H569" i="19"/>
  <c r="D568" i="19"/>
  <c r="H555" i="19"/>
  <c r="H554" i="19"/>
  <c r="H553" i="19"/>
  <c r="H552" i="19"/>
  <c r="D551" i="19"/>
  <c r="H547" i="19"/>
  <c r="H541" i="19"/>
  <c r="H540" i="19"/>
  <c r="H539" i="19"/>
  <c r="H538" i="19"/>
  <c r="D537" i="19"/>
  <c r="H533" i="19"/>
  <c r="H527" i="19"/>
  <c r="H526" i="19"/>
  <c r="H525" i="19"/>
  <c r="H524" i="19"/>
  <c r="D523" i="19"/>
  <c r="D669" i="19"/>
  <c r="H670" i="19"/>
  <c r="H671" i="19"/>
  <c r="H672" i="19"/>
  <c r="H673" i="19"/>
  <c r="H679" i="19"/>
  <c r="H814" i="19"/>
  <c r="H808" i="19"/>
  <c r="H807" i="19"/>
  <c r="H806" i="19"/>
  <c r="H805" i="19"/>
  <c r="H800" i="19"/>
  <c r="H794" i="19"/>
  <c r="H793" i="19"/>
  <c r="H792" i="19"/>
  <c r="H791" i="19"/>
  <c r="D790" i="19"/>
  <c r="H783" i="19"/>
  <c r="L769" i="19" s="1"/>
  <c r="H777" i="19"/>
  <c r="H776" i="19"/>
  <c r="H775" i="19"/>
  <c r="D782" i="19"/>
  <c r="H774" i="19"/>
  <c r="D773" i="19"/>
  <c r="H769" i="19"/>
  <c r="H766" i="19"/>
  <c r="L752" i="19" s="1"/>
  <c r="H760" i="19"/>
  <c r="H759" i="19"/>
  <c r="H758" i="19"/>
  <c r="H757" i="19"/>
  <c r="D756" i="19"/>
  <c r="H747" i="19"/>
  <c r="H741" i="19"/>
  <c r="H740" i="19"/>
  <c r="H739" i="19"/>
  <c r="H738" i="19"/>
  <c r="H733" i="19"/>
  <c r="H727" i="19"/>
  <c r="H726" i="19"/>
  <c r="H725" i="19"/>
  <c r="H724" i="19"/>
  <c r="D723" i="19"/>
  <c r="H715" i="19"/>
  <c r="L701" i="19" s="1"/>
  <c r="H709" i="19"/>
  <c r="H708" i="19"/>
  <c r="H707" i="19"/>
  <c r="D714" i="19"/>
  <c r="H706" i="19"/>
  <c r="D705" i="19"/>
  <c r="H697" i="19"/>
  <c r="L683" i="19" s="1"/>
  <c r="H691" i="19"/>
  <c r="H690" i="19"/>
  <c r="H689" i="19"/>
  <c r="H688" i="19"/>
  <c r="D687" i="19"/>
  <c r="H683" i="19"/>
  <c r="H514" i="19"/>
  <c r="L500" i="19" s="1"/>
  <c r="D510" i="19"/>
  <c r="H507" i="19" s="1"/>
  <c r="H508" i="19"/>
  <c r="H506" i="19"/>
  <c r="H505" i="19"/>
  <c r="D504" i="19"/>
  <c r="H500" i="19"/>
  <c r="H496" i="19"/>
  <c r="L482" i="19" s="1"/>
  <c r="H490" i="19"/>
  <c r="H489" i="19"/>
  <c r="H488" i="19"/>
  <c r="D494" i="19"/>
  <c r="H487" i="19"/>
  <c r="D486" i="19"/>
  <c r="H478" i="19"/>
  <c r="L464" i="19" s="1"/>
  <c r="H472" i="19"/>
  <c r="H471" i="19"/>
  <c r="H470" i="19"/>
  <c r="D476" i="19"/>
  <c r="H469" i="19"/>
  <c r="D468" i="19"/>
  <c r="H460" i="19"/>
  <c r="L446" i="19" s="1"/>
  <c r="H454" i="19"/>
  <c r="H453" i="19"/>
  <c r="H452" i="19"/>
  <c r="D458" i="19"/>
  <c r="H451" i="19"/>
  <c r="D450" i="19"/>
  <c r="H442" i="19"/>
  <c r="L428" i="19" s="1"/>
  <c r="H436" i="19"/>
  <c r="H435" i="19"/>
  <c r="H434" i="19"/>
  <c r="D440" i="19"/>
  <c r="H433" i="19"/>
  <c r="D432" i="19"/>
  <c r="H424" i="19"/>
  <c r="L410" i="19" s="1"/>
  <c r="H418" i="19"/>
  <c r="H417" i="19"/>
  <c r="H416" i="19"/>
  <c r="D422" i="19"/>
  <c r="H415" i="19"/>
  <c r="D414" i="19"/>
  <c r="H406" i="19"/>
  <c r="L392" i="19" s="1"/>
  <c r="H400" i="19"/>
  <c r="H399" i="19"/>
  <c r="H398" i="19"/>
  <c r="D404" i="19"/>
  <c r="H397" i="19"/>
  <c r="D396" i="19"/>
  <c r="H389" i="19"/>
  <c r="D385" i="19"/>
  <c r="H382" i="19" s="1"/>
  <c r="D384" i="19"/>
  <c r="H381" i="19" s="1"/>
  <c r="H383" i="19"/>
  <c r="H380" i="19"/>
  <c r="H375" i="19"/>
  <c r="D370" i="19"/>
  <c r="H367" i="19" s="1"/>
  <c r="H369" i="19"/>
  <c r="H368" i="19"/>
  <c r="H366" i="19"/>
  <c r="D365" i="19"/>
  <c r="H361" i="19"/>
  <c r="H355" i="19"/>
  <c r="H354" i="19"/>
  <c r="H353" i="19"/>
  <c r="H352" i="19"/>
  <c r="D351" i="19"/>
  <c r="H344" i="19"/>
  <c r="H338" i="19"/>
  <c r="H337" i="19"/>
  <c r="H336" i="19"/>
  <c r="D336" i="19"/>
  <c r="D342" i="19" s="1"/>
  <c r="H335" i="19"/>
  <c r="D334" i="19"/>
  <c r="H327" i="19"/>
  <c r="H321" i="19"/>
  <c r="H320" i="19"/>
  <c r="H319" i="19"/>
  <c r="D325" i="19"/>
  <c r="H318" i="19"/>
  <c r="D317" i="19"/>
  <c r="H310" i="19"/>
  <c r="L296" i="19" s="1"/>
  <c r="H304" i="19"/>
  <c r="H303" i="19"/>
  <c r="H302" i="19"/>
  <c r="D302" i="19"/>
  <c r="D308" i="19" s="1"/>
  <c r="H301" i="19"/>
  <c r="D300" i="19"/>
  <c r="H293" i="19"/>
  <c r="H287" i="19"/>
  <c r="H286" i="19"/>
  <c r="H285" i="19"/>
  <c r="H284" i="19"/>
  <c r="D283" i="19"/>
  <c r="H275" i="19"/>
  <c r="H269" i="19"/>
  <c r="H268" i="19"/>
  <c r="H267" i="19"/>
  <c r="H266" i="19"/>
  <c r="D265" i="19"/>
  <c r="H261" i="19"/>
  <c r="H255" i="19"/>
  <c r="H254" i="19"/>
  <c r="H253" i="19"/>
  <c r="H252" i="19"/>
  <c r="D251" i="19"/>
  <c r="H244" i="19"/>
  <c r="D240" i="19"/>
  <c r="H237" i="19" s="1"/>
  <c r="H238" i="19"/>
  <c r="H236" i="19"/>
  <c r="H235" i="19"/>
  <c r="D234" i="19"/>
  <c r="H230" i="19"/>
  <c r="H224" i="19"/>
  <c r="H223" i="19"/>
  <c r="H222" i="19"/>
  <c r="H221" i="19"/>
  <c r="D220" i="19"/>
  <c r="H212" i="19"/>
  <c r="L198" i="19" s="1"/>
  <c r="H206" i="19"/>
  <c r="H205" i="19"/>
  <c r="H204" i="19"/>
  <c r="H203" i="19"/>
  <c r="D202" i="19"/>
  <c r="H198" i="19"/>
  <c r="H195" i="19"/>
  <c r="L181" i="19" s="1"/>
  <c r="D191" i="19"/>
  <c r="H189" i="19"/>
  <c r="H187" i="19"/>
  <c r="H186" i="19"/>
  <c r="D185" i="19"/>
  <c r="H181" i="19"/>
  <c r="D178" i="19"/>
  <c r="H170" i="19"/>
  <c r="L165" i="19" s="1"/>
  <c r="D169" i="19"/>
  <c r="D162" i="19"/>
  <c r="H154" i="19"/>
  <c r="L149" i="19" s="1"/>
  <c r="D153" i="19"/>
  <c r="D146" i="19"/>
  <c r="H138" i="19"/>
  <c r="L133" i="19" s="1"/>
  <c r="D137" i="19"/>
  <c r="D130" i="19"/>
  <c r="H122" i="19"/>
  <c r="D121" i="19"/>
  <c r="K117" i="19"/>
  <c r="D110" i="19"/>
  <c r="H105" i="19"/>
  <c r="L100" i="19" s="1"/>
  <c r="D104" i="19"/>
  <c r="H97" i="19"/>
  <c r="D93" i="19"/>
  <c r="H90" i="19" s="1"/>
  <c r="H91" i="19"/>
  <c r="H89" i="19"/>
  <c r="H88" i="19"/>
  <c r="D87" i="19"/>
  <c r="H80" i="19"/>
  <c r="H74" i="19"/>
  <c r="H73" i="19"/>
  <c r="H72" i="19"/>
  <c r="H71" i="19"/>
  <c r="D70" i="19"/>
  <c r="H61" i="19"/>
  <c r="L47" i="19" s="1"/>
  <c r="D57" i="19"/>
  <c r="H54" i="19" s="1"/>
  <c r="H55" i="19"/>
  <c r="H53" i="19"/>
  <c r="H52" i="19"/>
  <c r="D51" i="19"/>
  <c r="H42" i="19"/>
  <c r="H36" i="19"/>
  <c r="H35" i="19"/>
  <c r="H34" i="19"/>
  <c r="H33" i="19"/>
  <c r="D32" i="19"/>
  <c r="M26" i="19"/>
  <c r="H24" i="19"/>
  <c r="H18" i="19"/>
  <c r="H17" i="19"/>
  <c r="H16" i="19"/>
  <c r="H15" i="19"/>
  <c r="D14" i="19"/>
  <c r="L279" i="19" l="1"/>
  <c r="L300" i="19"/>
  <c r="L302" i="19" s="1"/>
  <c r="L396" i="19"/>
  <c r="L117" i="19"/>
  <c r="L121" i="19"/>
  <c r="L122" i="19" s="1"/>
  <c r="M117" i="19" s="1"/>
  <c r="L26" i="19"/>
  <c r="L705" i="19"/>
  <c r="L706" i="19" s="1"/>
  <c r="M701" i="19" s="1"/>
  <c r="L786" i="19"/>
  <c r="L247" i="19"/>
  <c r="L450" i="19"/>
  <c r="L347" i="19"/>
  <c r="L414" i="19"/>
  <c r="L153" i="19"/>
  <c r="L154" i="19" s="1"/>
  <c r="M149" i="19" s="1"/>
  <c r="L137" i="19"/>
  <c r="L138" i="19" s="1"/>
  <c r="M133" i="19" s="1"/>
  <c r="L317" i="19"/>
  <c r="L318" i="19" s="1"/>
  <c r="H439" i="19"/>
  <c r="L468" i="19"/>
  <c r="L334" i="19"/>
  <c r="L719" i="19"/>
  <c r="H403" i="19"/>
  <c r="H341" i="19"/>
  <c r="L330" i="19" s="1"/>
  <c r="L169" i="19"/>
  <c r="L170" i="19" s="1"/>
  <c r="M165" i="19" s="1"/>
  <c r="L486" i="19"/>
  <c r="L773" i="19"/>
  <c r="L774" i="19" s="1"/>
  <c r="M769" i="19" s="1"/>
  <c r="L432" i="19"/>
  <c r="H421" i="19"/>
  <c r="H324" i="19"/>
  <c r="L313" i="19" s="1"/>
  <c r="H780" i="19"/>
  <c r="H188" i="19"/>
  <c r="H457" i="19"/>
  <c r="H475" i="19"/>
  <c r="H209" i="19"/>
  <c r="H493" i="19"/>
  <c r="H712" i="19"/>
  <c r="H307" i="19"/>
  <c r="L488" i="19" l="1"/>
  <c r="L487" i="19"/>
  <c r="M482" i="19" s="1"/>
  <c r="L336" i="19"/>
  <c r="L335" i="19"/>
  <c r="M330" i="19" s="1"/>
  <c r="L434" i="19"/>
  <c r="L433" i="19"/>
  <c r="M428" i="19" s="1"/>
  <c r="L398" i="19"/>
  <c r="L397" i="19"/>
  <c r="M392" i="19" s="1"/>
  <c r="L470" i="19"/>
  <c r="L469" i="19"/>
  <c r="M464" i="19" s="1"/>
  <c r="L452" i="19"/>
  <c r="L451" i="19"/>
  <c r="M446" i="19" s="1"/>
  <c r="L416" i="19"/>
  <c r="L415" i="19"/>
  <c r="M410" i="19" s="1"/>
  <c r="L301" i="19"/>
  <c r="M296" i="19" s="1"/>
  <c r="L319" i="19"/>
  <c r="M313" i="19"/>
  <c r="S64" i="18" l="1"/>
  <c r="Q64" i="18"/>
  <c r="O64" i="18"/>
  <c r="M64" i="18"/>
  <c r="K64" i="18"/>
  <c r="J58" i="18"/>
  <c r="R63" i="18"/>
  <c r="P57" i="18"/>
  <c r="N56" i="18"/>
  <c r="L55" i="18"/>
  <c r="J54" i="18"/>
  <c r="J53" i="18"/>
  <c r="N52" i="18"/>
  <c r="L51" i="18"/>
  <c r="J50" i="18"/>
  <c r="J49" i="18"/>
  <c r="N48" i="18"/>
  <c r="J42" i="18"/>
  <c r="N41" i="18"/>
  <c r="N40" i="18"/>
  <c r="N38" i="18"/>
  <c r="N36" i="18"/>
  <c r="N35" i="18"/>
  <c r="N34" i="18"/>
  <c r="J33" i="18"/>
  <c r="L32" i="18"/>
  <c r="N31" i="18"/>
  <c r="P30" i="18"/>
  <c r="P29" i="18"/>
  <c r="P28" i="18"/>
  <c r="P27" i="18"/>
  <c r="P26" i="18"/>
  <c r="N25" i="18"/>
  <c r="N24" i="18"/>
  <c r="L23" i="18"/>
  <c r="J22" i="18"/>
  <c r="J21" i="18"/>
  <c r="J20" i="18"/>
  <c r="N19" i="18"/>
  <c r="J19" i="18"/>
  <c r="J18" i="18"/>
  <c r="J17" i="18"/>
  <c r="J16" i="18"/>
  <c r="N15" i="18"/>
  <c r="N14" i="18"/>
  <c r="N13" i="18"/>
  <c r="P12" i="18"/>
  <c r="N11" i="18"/>
  <c r="I64" i="18" l="1"/>
  <c r="P63" i="18"/>
  <c r="N63" i="18"/>
  <c r="L63" i="18"/>
  <c r="J63" i="18"/>
  <c r="Q92" i="11"/>
  <c r="N111" i="11" l="1"/>
  <c r="N87" i="11" l="1"/>
  <c r="N88" i="11"/>
  <c r="L74" i="11"/>
  <c r="M76" i="11"/>
  <c r="M22" i="16" l="1"/>
  <c r="M21" i="16"/>
  <c r="N112" i="11" l="1"/>
  <c r="I124" i="11"/>
  <c r="I123" i="11"/>
  <c r="I122" i="11"/>
  <c r="I121" i="11"/>
  <c r="I118" i="11"/>
  <c r="I117" i="11"/>
  <c r="I115" i="11"/>
  <c r="I113" i="11"/>
  <c r="I116" i="11"/>
  <c r="I114" i="11"/>
  <c r="I112" i="11"/>
  <c r="I111" i="11"/>
  <c r="I120" i="11"/>
  <c r="I119" i="11"/>
  <c r="P72" i="11" l="1"/>
  <c r="I70" i="11"/>
  <c r="J10" i="11"/>
  <c r="J11" i="11" s="1"/>
  <c r="P20" i="11" l="1"/>
  <c r="N20" i="11"/>
  <c r="Q19" i="11"/>
  <c r="I20" i="11"/>
  <c r="H20" i="11"/>
  <c r="J20" i="11" s="1"/>
  <c r="Q18" i="11"/>
  <c r="M18" i="11"/>
  <c r="Q17" i="11"/>
  <c r="M17" i="11"/>
  <c r="J17" i="11"/>
  <c r="J18" i="11" s="1"/>
  <c r="D53" i="19" s="1"/>
  <c r="H58" i="19" l="1"/>
  <c r="D59" i="19"/>
  <c r="L51" i="19" s="1"/>
  <c r="J19" i="11"/>
  <c r="M20" i="11"/>
  <c r="O20" i="11" s="1"/>
  <c r="Q20" i="11"/>
  <c r="O17" i="11"/>
  <c r="O18" i="11" s="1"/>
  <c r="O19" i="11" s="1"/>
  <c r="H104" i="11"/>
  <c r="L52" i="19" l="1"/>
  <c r="M47" i="19" s="1"/>
  <c r="L53" i="19"/>
  <c r="H98" i="11"/>
  <c r="J98" i="11" s="1"/>
  <c r="M33" i="16"/>
  <c r="K683" i="19" l="1"/>
  <c r="D689" i="19"/>
  <c r="N106" i="11"/>
  <c r="M100" i="11"/>
  <c r="N99" i="11"/>
  <c r="N70" i="11"/>
  <c r="N59" i="11"/>
  <c r="N44" i="11"/>
  <c r="N42" i="11"/>
  <c r="N39" i="11"/>
  <c r="N37" i="11"/>
  <c r="N35" i="11"/>
  <c r="N32" i="11"/>
  <c r="M104" i="11"/>
  <c r="M98" i="11"/>
  <c r="T81" i="11"/>
  <c r="T34" i="11"/>
  <c r="T35" i="11" s="1"/>
  <c r="T36" i="11" s="1"/>
  <c r="T37" i="11" s="1"/>
  <c r="T38" i="11" s="1"/>
  <c r="T39" i="11" s="1"/>
  <c r="T40" i="11" s="1"/>
  <c r="P109" i="11"/>
  <c r="Q107" i="11"/>
  <c r="Q106" i="11"/>
  <c r="Q105" i="11"/>
  <c r="P102" i="11"/>
  <c r="Q101" i="11"/>
  <c r="Q100" i="11"/>
  <c r="Q99" i="11"/>
  <c r="Q98" i="11"/>
  <c r="P96" i="11"/>
  <c r="Q95" i="11"/>
  <c r="Q94" i="11"/>
  <c r="Q93" i="11"/>
  <c r="P90" i="11"/>
  <c r="Q89" i="11"/>
  <c r="Q88" i="11"/>
  <c r="Q87" i="11"/>
  <c r="Q86" i="11"/>
  <c r="P84" i="11"/>
  <c r="Q83" i="11"/>
  <c r="Q82" i="11"/>
  <c r="Q81" i="11"/>
  <c r="P79" i="11"/>
  <c r="Q78" i="11"/>
  <c r="Q77" i="11"/>
  <c r="Q76" i="11"/>
  <c r="Q75" i="11"/>
  <c r="Q74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P15" i="11"/>
  <c r="Q14" i="11"/>
  <c r="Q13" i="11"/>
  <c r="Q12" i="11"/>
  <c r="Q11" i="11"/>
  <c r="Q10" i="11"/>
  <c r="N62" i="11"/>
  <c r="N64" i="11"/>
  <c r="N66" i="11"/>
  <c r="N68" i="11"/>
  <c r="N61" i="11"/>
  <c r="M25" i="11"/>
  <c r="N41" i="11"/>
  <c r="H694" i="19" l="1"/>
  <c r="D696" i="19"/>
  <c r="L687" i="19" s="1"/>
  <c r="L688" i="19" s="1"/>
  <c r="M683" i="19" s="1"/>
  <c r="Q79" i="11"/>
  <c r="Y78" i="11" s="1"/>
  <c r="Q96" i="11"/>
  <c r="Y96" i="11" s="1"/>
  <c r="Q84" i="11"/>
  <c r="Z78" i="11" s="1"/>
  <c r="Q15" i="11"/>
  <c r="Y11" i="11" s="1"/>
  <c r="Q90" i="11"/>
  <c r="Q109" i="11"/>
  <c r="AA96" i="11" s="1"/>
  <c r="Q102" i="11"/>
  <c r="Z96" i="11" s="1"/>
  <c r="Q72" i="11"/>
  <c r="L118" i="16"/>
  <c r="D111" i="11" l="1"/>
  <c r="Y32" i="11"/>
  <c r="M126" i="16"/>
  <c r="M122" i="16"/>
  <c r="E123" i="16"/>
  <c r="E111" i="16"/>
  <c r="M81" i="16"/>
  <c r="E41" i="16" l="1"/>
  <c r="E40" i="16"/>
  <c r="E39" i="16"/>
  <c r="E38" i="16"/>
  <c r="E8" i="16" l="1"/>
  <c r="M107" i="16" l="1"/>
  <c r="E97" i="16"/>
  <c r="M80" i="16"/>
  <c r="E57" i="16"/>
  <c r="M29" i="16"/>
  <c r="M30" i="16"/>
  <c r="M31" i="16"/>
  <c r="M32" i="16"/>
  <c r="E37" i="16"/>
  <c r="M34" i="16"/>
  <c r="E36" i="16"/>
  <c r="M35" i="16"/>
  <c r="E35" i="16"/>
  <c r="E34" i="16"/>
  <c r="E33" i="16"/>
  <c r="E32" i="16"/>
  <c r="E31" i="16"/>
  <c r="E30" i="16"/>
  <c r="E29" i="16"/>
  <c r="M36" i="16"/>
  <c r="E28" i="16"/>
  <c r="M37" i="16"/>
  <c r="E27" i="16"/>
  <c r="M38" i="16"/>
  <c r="E26" i="16"/>
  <c r="M39" i="16"/>
  <c r="M40" i="16"/>
  <c r="E25" i="16"/>
  <c r="E24" i="16"/>
  <c r="E23" i="16"/>
  <c r="E22" i="16"/>
  <c r="E21" i="16"/>
  <c r="E20" i="16"/>
  <c r="E10" i="16"/>
  <c r="E9" i="16"/>
  <c r="E48" i="16" l="1"/>
  <c r="O98" i="11" l="1"/>
  <c r="O104" i="11"/>
  <c r="N15" i="11" l="1"/>
  <c r="I15" i="11"/>
  <c r="H15" i="11"/>
  <c r="M105" i="11" l="1"/>
  <c r="E122" i="16"/>
  <c r="E131" i="16" s="1"/>
  <c r="E107" i="16"/>
  <c r="E115" i="16" s="1"/>
  <c r="M93" i="11"/>
  <c r="H92" i="11"/>
  <c r="M69" i="11"/>
  <c r="M67" i="11"/>
  <c r="M65" i="11"/>
  <c r="M63" i="11"/>
  <c r="M62" i="11"/>
  <c r="M60" i="11"/>
  <c r="M56" i="11"/>
  <c r="M55" i="11"/>
  <c r="M54" i="11"/>
  <c r="M53" i="11"/>
  <c r="M48" i="11"/>
  <c r="M47" i="11"/>
  <c r="M45" i="11"/>
  <c r="M40" i="11"/>
  <c r="M38" i="11"/>
  <c r="M36" i="11"/>
  <c r="M33" i="11"/>
  <c r="M26" i="11"/>
  <c r="M24" i="11"/>
  <c r="M23" i="11"/>
  <c r="B23" i="11"/>
  <c r="J22" i="11"/>
  <c r="J23" i="11" s="1"/>
  <c r="J24" i="11" s="1"/>
  <c r="J25" i="11" s="1"/>
  <c r="J26" i="11" s="1"/>
  <c r="M22" i="11"/>
  <c r="J15" i="11"/>
  <c r="L16" i="16" s="1"/>
  <c r="M12" i="11"/>
  <c r="M11" i="11"/>
  <c r="J12" i="11"/>
  <c r="D16" i="19" s="1"/>
  <c r="M10" i="11"/>
  <c r="D34" i="19" l="1"/>
  <c r="H21" i="19"/>
  <c r="L10" i="19" s="1"/>
  <c r="D22" i="19"/>
  <c r="L14" i="19" s="1"/>
  <c r="J27" i="11"/>
  <c r="D72" i="19"/>
  <c r="B25" i="1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H28" i="11"/>
  <c r="J28" i="11" s="1"/>
  <c r="J29" i="11" s="1"/>
  <c r="J30" i="11" s="1"/>
  <c r="E94" i="16"/>
  <c r="E101" i="16" s="1"/>
  <c r="M92" i="11"/>
  <c r="O92" i="11" s="1"/>
  <c r="J104" i="11"/>
  <c r="J105" i="11" s="1"/>
  <c r="H109" i="11"/>
  <c r="J99" i="11"/>
  <c r="J100" i="11" s="1"/>
  <c r="I101" i="11" s="1"/>
  <c r="H102" i="11"/>
  <c r="J92" i="11"/>
  <c r="J93" i="11" s="1"/>
  <c r="J94" i="11" s="1"/>
  <c r="D671" i="19" s="1"/>
  <c r="H96" i="11"/>
  <c r="O105" i="11"/>
  <c r="M109" i="11"/>
  <c r="M102" i="11"/>
  <c r="O99" i="11"/>
  <c r="O22" i="11"/>
  <c r="O10" i="11"/>
  <c r="M15" i="11"/>
  <c r="O15" i="11" s="1"/>
  <c r="J13" i="11"/>
  <c r="J31" i="11" l="1"/>
  <c r="D89" i="19"/>
  <c r="D78" i="19"/>
  <c r="L70" i="19" s="1"/>
  <c r="H77" i="19"/>
  <c r="L66" i="19" s="1"/>
  <c r="L15" i="19"/>
  <c r="M10" i="19" s="1"/>
  <c r="L16" i="19"/>
  <c r="N101" i="11"/>
  <c r="D725" i="19"/>
  <c r="J106" i="11"/>
  <c r="K752" i="19"/>
  <c r="D758" i="19"/>
  <c r="H676" i="19"/>
  <c r="L665" i="19" s="1"/>
  <c r="D677" i="19"/>
  <c r="L669" i="19" s="1"/>
  <c r="D40" i="19"/>
  <c r="L32" i="19" s="1"/>
  <c r="H39" i="19"/>
  <c r="J14" i="11"/>
  <c r="O100" i="11"/>
  <c r="O106" i="11"/>
  <c r="O107" i="11" s="1"/>
  <c r="O93" i="11"/>
  <c r="O94" i="11" s="1"/>
  <c r="O11" i="11"/>
  <c r="O12" i="11" s="1"/>
  <c r="O13" i="11" s="1"/>
  <c r="O14" i="11" s="1"/>
  <c r="O23" i="11"/>
  <c r="O24" i="11" s="1"/>
  <c r="O25" i="11" s="1"/>
  <c r="O26" i="11" s="1"/>
  <c r="O27" i="11" s="1"/>
  <c r="I95" i="11"/>
  <c r="M96" i="11"/>
  <c r="M28" i="11"/>
  <c r="M72" i="11" s="1"/>
  <c r="H72" i="11"/>
  <c r="D765" i="19" l="1"/>
  <c r="L756" i="19" s="1"/>
  <c r="L757" i="19" s="1"/>
  <c r="M752" i="19" s="1"/>
  <c r="H763" i="19"/>
  <c r="D739" i="19"/>
  <c r="H730" i="19"/>
  <c r="D731" i="19"/>
  <c r="L723" i="19" s="1"/>
  <c r="L71" i="19"/>
  <c r="M66" i="19" s="1"/>
  <c r="L72" i="19"/>
  <c r="L33" i="19"/>
  <c r="L34" i="19"/>
  <c r="H94" i="19"/>
  <c r="L83" i="19" s="1"/>
  <c r="D95" i="19"/>
  <c r="L87" i="19" s="1"/>
  <c r="J107" i="11"/>
  <c r="I108" i="11" s="1"/>
  <c r="D792" i="19" s="1"/>
  <c r="K769" i="19"/>
  <c r="L671" i="19"/>
  <c r="L670" i="19"/>
  <c r="M665" i="19" s="1"/>
  <c r="J32" i="11"/>
  <c r="J33" i="11" s="1"/>
  <c r="J34" i="11" s="1"/>
  <c r="J35" i="11" s="1"/>
  <c r="J36" i="11" s="1"/>
  <c r="J37" i="11" s="1"/>
  <c r="J38" i="11" s="1"/>
  <c r="J39" i="11" s="1"/>
  <c r="J40" i="11" s="1"/>
  <c r="J41" i="11" s="1"/>
  <c r="D106" i="19"/>
  <c r="D113" i="19" s="1"/>
  <c r="L104" i="19" s="1"/>
  <c r="L105" i="19" s="1"/>
  <c r="M100" i="19" s="1"/>
  <c r="M111" i="16"/>
  <c r="M115" i="16" s="1"/>
  <c r="I102" i="11"/>
  <c r="J102" i="11" s="1"/>
  <c r="J101" i="11"/>
  <c r="N95" i="11"/>
  <c r="M97" i="16"/>
  <c r="M101" i="16" s="1"/>
  <c r="I96" i="11"/>
  <c r="J96" i="11" s="1"/>
  <c r="J95" i="11"/>
  <c r="O28" i="11"/>
  <c r="D806" i="19" l="1"/>
  <c r="H797" i="19"/>
  <c r="D798" i="19"/>
  <c r="L790" i="19" s="1"/>
  <c r="J108" i="11"/>
  <c r="N108" i="11"/>
  <c r="L725" i="19"/>
  <c r="L724" i="19"/>
  <c r="M719" i="19" s="1"/>
  <c r="J42" i="11"/>
  <c r="J43" i="11" s="1"/>
  <c r="D187" i="19"/>
  <c r="K181" i="19"/>
  <c r="L89" i="19"/>
  <c r="L88" i="19"/>
  <c r="M83" i="19" s="1"/>
  <c r="I109" i="11"/>
  <c r="J109" i="11" s="1"/>
  <c r="D745" i="19"/>
  <c r="L737" i="19" s="1"/>
  <c r="H744" i="19"/>
  <c r="M127" i="16"/>
  <c r="M131" i="16" s="1"/>
  <c r="O29" i="1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O53" i="11" s="1"/>
  <c r="O54" i="11" s="1"/>
  <c r="O55" i="11" s="1"/>
  <c r="O56" i="11" s="1"/>
  <c r="O57" i="11" s="1"/>
  <c r="O58" i="11" s="1"/>
  <c r="O59" i="11" s="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O70" i="11" s="1"/>
  <c r="N102" i="11"/>
  <c r="O102" i="11" s="1"/>
  <c r="O101" i="11"/>
  <c r="M115" i="11" s="1"/>
  <c r="O115" i="11" s="1"/>
  <c r="N109" i="11"/>
  <c r="O109" i="11" s="1"/>
  <c r="O108" i="11"/>
  <c r="M116" i="11" s="1"/>
  <c r="O116" i="11" s="1"/>
  <c r="N96" i="11"/>
  <c r="O96" i="11" s="1"/>
  <c r="O95" i="11"/>
  <c r="M114" i="11" s="1"/>
  <c r="O114" i="11" s="1"/>
  <c r="J44" i="11" l="1"/>
  <c r="J45" i="11" s="1"/>
  <c r="K198" i="19"/>
  <c r="D211" i="19" s="1"/>
  <c r="L202" i="19" s="1"/>
  <c r="L203" i="19" s="1"/>
  <c r="M198" i="19" s="1"/>
  <c r="D194" i="19"/>
  <c r="L185" i="19" s="1"/>
  <c r="L186" i="19" s="1"/>
  <c r="M181" i="19" s="1"/>
  <c r="H192" i="19"/>
  <c r="L792" i="19"/>
  <c r="L791" i="19"/>
  <c r="M786" i="19" s="1"/>
  <c r="L739" i="19"/>
  <c r="L738" i="19"/>
  <c r="D812" i="19"/>
  <c r="L804" i="19" s="1"/>
  <c r="H811" i="19"/>
  <c r="L805" i="19" l="1"/>
  <c r="L806" i="19"/>
  <c r="J46" i="11"/>
  <c r="D222" i="19"/>
  <c r="D236" i="19" l="1"/>
  <c r="H227" i="19"/>
  <c r="L216" i="19" s="1"/>
  <c r="D228" i="19"/>
  <c r="L220" i="19" s="1"/>
  <c r="J47" i="11"/>
  <c r="J48" i="11" s="1"/>
  <c r="J49" i="11" s="1"/>
  <c r="J50" i="11" s="1"/>
  <c r="J51" i="11" s="1"/>
  <c r="D253" i="19"/>
  <c r="J52" i="11" l="1"/>
  <c r="J53" i="11" s="1"/>
  <c r="J54" i="11" s="1"/>
  <c r="J55" i="11" s="1"/>
  <c r="J56" i="11" s="1"/>
  <c r="J57" i="11" s="1"/>
  <c r="D285" i="19"/>
  <c r="L222" i="19"/>
  <c r="L221" i="19"/>
  <c r="M216" i="19" s="1"/>
  <c r="D267" i="19"/>
  <c r="D259" i="19"/>
  <c r="L251" i="19" s="1"/>
  <c r="H258" i="19"/>
  <c r="D242" i="19"/>
  <c r="L234" i="19" s="1"/>
  <c r="H241" i="19"/>
  <c r="L253" i="19" l="1"/>
  <c r="L252" i="19"/>
  <c r="M247" i="19" s="1"/>
  <c r="L235" i="19"/>
  <c r="L236" i="19"/>
  <c r="D273" i="19"/>
  <c r="L265" i="19" s="1"/>
  <c r="H272" i="19"/>
  <c r="D291" i="19"/>
  <c r="L283" i="19" s="1"/>
  <c r="H290" i="19"/>
  <c r="J58" i="1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D353" i="19"/>
  <c r="H358" i="19" l="1"/>
  <c r="D367" i="19"/>
  <c r="D359" i="19"/>
  <c r="L351" i="19" s="1"/>
  <c r="D506" i="19"/>
  <c r="I71" i="11"/>
  <c r="L266" i="19"/>
  <c r="L267" i="19"/>
  <c r="L285" i="19"/>
  <c r="L284" i="19"/>
  <c r="M279" i="19" s="1"/>
  <c r="H511" i="19" l="1"/>
  <c r="D513" i="19"/>
  <c r="L504" i="19" s="1"/>
  <c r="L505" i="19" s="1"/>
  <c r="M500" i="19" s="1"/>
  <c r="L353" i="19"/>
  <c r="L352" i="19"/>
  <c r="M347" i="19" s="1"/>
  <c r="J71" i="11"/>
  <c r="I72" i="11"/>
  <c r="J72" i="11" s="1"/>
  <c r="M45" i="16"/>
  <c r="M48" i="16" s="1"/>
  <c r="H74" i="11"/>
  <c r="N71" i="11"/>
  <c r="H372" i="19"/>
  <c r="D381" i="19"/>
  <c r="D388" i="19" s="1"/>
  <c r="D373" i="19"/>
  <c r="L365" i="19" s="1"/>
  <c r="N72" i="11" l="1"/>
  <c r="O72" i="11" s="1"/>
  <c r="O71" i="11"/>
  <c r="M111" i="11" s="1"/>
  <c r="O111" i="11" s="1"/>
  <c r="L366" i="19"/>
  <c r="L367" i="19"/>
  <c r="H386" i="19"/>
  <c r="L379" i="19"/>
  <c r="L380" i="19" s="1"/>
  <c r="H79" i="11"/>
  <c r="J74" i="11"/>
  <c r="E55" i="16"/>
  <c r="E74" i="16" s="1"/>
  <c r="M74" i="11"/>
  <c r="J75" i="11" l="1"/>
  <c r="J76" i="11" s="1"/>
  <c r="D525" i="19"/>
  <c r="O74" i="11"/>
  <c r="O75" i="11" s="1"/>
  <c r="O76" i="11" s="1"/>
  <c r="O77" i="11" s="1"/>
  <c r="M79" i="11"/>
  <c r="D539" i="19" l="1"/>
  <c r="D531" i="19"/>
  <c r="L523" i="19" s="1"/>
  <c r="H530" i="19"/>
  <c r="L519" i="19" s="1"/>
  <c r="J77" i="11"/>
  <c r="D570" i="19"/>
  <c r="D576" i="19" l="1"/>
  <c r="L568" i="19" s="1"/>
  <c r="H575" i="19"/>
  <c r="L525" i="19"/>
  <c r="L524" i="19"/>
  <c r="M519" i="19" s="1"/>
  <c r="I78" i="11"/>
  <c r="J78" i="11"/>
  <c r="D545" i="19"/>
  <c r="L537" i="19" s="1"/>
  <c r="D553" i="19"/>
  <c r="H544" i="19"/>
  <c r="D559" i="19" l="1"/>
  <c r="L551" i="19" s="1"/>
  <c r="L552" i="19" s="1"/>
  <c r="H558" i="19"/>
  <c r="L553" i="19" s="1"/>
  <c r="L538" i="19"/>
  <c r="L539" i="19"/>
  <c r="I79" i="11"/>
  <c r="N78" i="11"/>
  <c r="H81" i="11"/>
  <c r="L570" i="19"/>
  <c r="L569" i="19"/>
  <c r="M564" i="19" s="1"/>
  <c r="L61" i="16" l="1"/>
  <c r="J79" i="11"/>
  <c r="N79" i="11"/>
  <c r="O79" i="11" s="1"/>
  <c r="O78" i="11"/>
  <c r="M112" i="11" s="1"/>
  <c r="O112" i="11" s="1"/>
  <c r="H84" i="11"/>
  <c r="M81" i="11"/>
  <c r="J81" i="11"/>
  <c r="I82" i="11" l="1"/>
  <c r="J82" i="11"/>
  <c r="O81" i="11"/>
  <c r="M84" i="11"/>
  <c r="I83" i="11" l="1"/>
  <c r="J83" i="11"/>
  <c r="M67" i="16"/>
  <c r="N82" i="11"/>
  <c r="O82" i="11" s="1"/>
  <c r="H86" i="11"/>
  <c r="I84" i="11"/>
  <c r="J84" i="11" s="1"/>
  <c r="J86" i="11" l="1"/>
  <c r="E82" i="16"/>
  <c r="E88" i="16" s="1"/>
  <c r="M86" i="11"/>
  <c r="H90" i="11"/>
  <c r="D110" i="11"/>
  <c r="D112" i="11" s="1"/>
  <c r="D114" i="11" s="1"/>
  <c r="D116" i="11" s="1"/>
  <c r="N83" i="11"/>
  <c r="N84" i="11" s="1"/>
  <c r="O84" i="11" s="1"/>
  <c r="M70" i="16"/>
  <c r="M74" i="16" s="1"/>
  <c r="O86" i="11" l="1"/>
  <c r="M90" i="11"/>
  <c r="J87" i="11"/>
  <c r="K583" i="19"/>
  <c r="D589" i="19"/>
  <c r="O83" i="11"/>
  <c r="J88" i="11" l="1"/>
  <c r="I89" i="11" s="1"/>
  <c r="D607" i="19"/>
  <c r="K601" i="19"/>
  <c r="D596" i="19"/>
  <c r="L587" i="19" s="1"/>
  <c r="L588" i="19" s="1"/>
  <c r="M583" i="19" s="1"/>
  <c r="H594" i="19"/>
  <c r="O87" i="11"/>
  <c r="O88" i="11" s="1"/>
  <c r="H612" i="19" l="1"/>
  <c r="D614" i="19"/>
  <c r="L605" i="19" s="1"/>
  <c r="L606" i="19" s="1"/>
  <c r="M601" i="19" s="1"/>
  <c r="J89" i="11"/>
  <c r="D653" i="19"/>
  <c r="I90" i="11"/>
  <c r="J90" i="11" s="1"/>
  <c r="M84" i="16"/>
  <c r="M88" i="16" s="1"/>
  <c r="N89" i="11"/>
  <c r="N90" i="11" s="1"/>
  <c r="O90" i="11" s="1"/>
  <c r="D659" i="19" l="1"/>
  <c r="L651" i="19" s="1"/>
  <c r="D639" i="19"/>
  <c r="H658" i="19"/>
  <c r="O89" i="11"/>
  <c r="M113" i="11" s="1"/>
  <c r="O113" i="11" s="1"/>
  <c r="D625" i="19" l="1"/>
  <c r="H644" i="19"/>
  <c r="D645" i="19"/>
  <c r="L637" i="19" s="1"/>
  <c r="L652" i="19"/>
  <c r="M619" i="19" s="1"/>
  <c r="L653" i="19"/>
  <c r="L638" i="19" l="1"/>
  <c r="L639" i="19"/>
  <c r="H630" i="19"/>
  <c r="D631" i="19"/>
  <c r="L623" i="19" s="1"/>
  <c r="L624" i="19" l="1"/>
  <c r="L62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P-1</author>
  </authors>
  <commentList>
    <comment ref="C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P-1:</t>
        </r>
        <r>
          <rPr>
            <sz val="9"/>
            <color indexed="81"/>
            <rFont val="Tahoma"/>
            <family val="2"/>
          </rPr>
          <t xml:space="preserve">
mild exothermic reaction</t>
        </r>
      </text>
    </comment>
    <comment ref="I3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P-1:</t>
        </r>
        <r>
          <rPr>
            <sz val="9"/>
            <color indexed="81"/>
            <rFont val="Tahoma"/>
            <family val="2"/>
          </rPr>
          <t xml:space="preserve">
ETP</t>
        </r>
      </text>
    </comment>
    <comment ref="I3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P-1:</t>
        </r>
        <r>
          <rPr>
            <sz val="9"/>
            <color indexed="81"/>
            <rFont val="Tahoma"/>
            <family val="2"/>
          </rPr>
          <t xml:space="preserve">
ETP</t>
        </r>
      </text>
    </comment>
    <comment ref="I4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P-1:</t>
        </r>
        <r>
          <rPr>
            <sz val="9"/>
            <color indexed="81"/>
            <rFont val="Tahoma"/>
            <family val="2"/>
          </rPr>
          <t xml:space="preserve">
ETP</t>
        </r>
      </text>
    </comment>
    <comment ref="I4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P-1:</t>
        </r>
        <r>
          <rPr>
            <sz val="9"/>
            <color indexed="81"/>
            <rFont val="Tahoma"/>
            <family val="2"/>
          </rPr>
          <t xml:space="preserve">
Recycle to Next Batch</t>
        </r>
      </text>
    </comment>
    <comment ref="I6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P-1:</t>
        </r>
        <r>
          <rPr>
            <sz val="9"/>
            <color indexed="81"/>
            <rFont val="Tahoma"/>
            <family val="2"/>
          </rPr>
          <t xml:space="preserve">
ETP</t>
        </r>
      </text>
    </comment>
    <comment ref="I10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P-1:</t>
        </r>
        <r>
          <rPr>
            <sz val="9"/>
            <color indexed="81"/>
            <rFont val="Tahoma"/>
            <family val="2"/>
          </rPr>
          <t xml:space="preserve">
Recycle back for next batch</t>
        </r>
      </text>
    </comment>
  </commentList>
</comments>
</file>

<file path=xl/sharedStrings.xml><?xml version="1.0" encoding="utf-8"?>
<sst xmlns="http://schemas.openxmlformats.org/spreadsheetml/2006/main" count="4944" uniqueCount="605">
  <si>
    <t>Step</t>
  </si>
  <si>
    <t>Process Step</t>
  </si>
  <si>
    <t>Material</t>
  </si>
  <si>
    <t>Mass in  kg</t>
  </si>
  <si>
    <t>Kmoles</t>
  </si>
  <si>
    <t>Accumn kg</t>
  </si>
  <si>
    <t>Time</t>
  </si>
  <si>
    <t>Volume in L</t>
  </si>
  <si>
    <t>Volume out L</t>
  </si>
  <si>
    <t>Accumn. L</t>
  </si>
  <si>
    <t>Pressure</t>
  </si>
  <si>
    <t>Scrubber and vacuum</t>
  </si>
  <si>
    <t>Temp. 0C</t>
  </si>
  <si>
    <t>Total</t>
  </si>
  <si>
    <t>Sample to QC</t>
  </si>
  <si>
    <t>Vacuum</t>
  </si>
  <si>
    <t>Min</t>
  </si>
  <si>
    <t>Sp gr</t>
  </si>
  <si>
    <t>Steam</t>
  </si>
  <si>
    <t>Build vacuum</t>
  </si>
  <si>
    <t>Apply brine and cool down the temp to 8 deg C</t>
  </si>
  <si>
    <t>Mixing for 1 hr</t>
  </si>
  <si>
    <t>CW/CHW</t>
  </si>
  <si>
    <t>Close man-hole and apply chilled water and maintain 24 deg C temperature(start stirre)</t>
  </si>
  <si>
    <t>Send sample to QC</t>
  </si>
  <si>
    <t xml:space="preserve">Add 500kg water to the reactor and stire for 20 min </t>
  </si>
  <si>
    <t>Settling for 30 min</t>
  </si>
  <si>
    <t>Separate Aq. Layer and send to ETP</t>
  </si>
  <si>
    <t>Add 1500kg water and agitate for 20 min and settling for 30 min</t>
  </si>
  <si>
    <t>Lower Aq. Layer send to ETP</t>
  </si>
  <si>
    <t>Separate lower Aq. Layer and send to ETP</t>
  </si>
  <si>
    <t>Apply steam and increase the temp. upto 65 deg C and recover for 6hr</t>
  </si>
  <si>
    <t>Apply brine and cool down the temp to 5 deg C</t>
  </si>
  <si>
    <t>Add 4000ltr hexane at -5 deg C .</t>
  </si>
  <si>
    <t>Apply CHW/CW and steam and increase the temp. to 33 deg C</t>
  </si>
  <si>
    <t xml:space="preserve">Stop agitator and settle for 1hr </t>
  </si>
  <si>
    <t xml:space="preserve">Add 500kg water to the organic layer and stire for 20 min </t>
  </si>
  <si>
    <t>Settling for 30 min and send the Aq. Layer to IPA-water recovery reactor by Drum</t>
  </si>
  <si>
    <t>Add 1500kg water stire for 20 min and settling for 30 and drain the Aq. Layer to ETP</t>
  </si>
  <si>
    <t>Separate Aq. Layer and drain to ETP</t>
  </si>
  <si>
    <t>Settling for 30 min and separate Aq. Layer to ETP.</t>
  </si>
  <si>
    <t xml:space="preserve">Again start Recovery </t>
  </si>
  <si>
    <t>Cool down the mass to 10 deg C by applying brine</t>
  </si>
  <si>
    <t>Add 1300Kg hypo to Aq. Layer in 8hr at RT</t>
  </si>
  <si>
    <t>Send the sample to QC</t>
  </si>
  <si>
    <t>Send the detox mass to ETP</t>
  </si>
  <si>
    <t>Add 2000kg IPA to the reaction mass at RT</t>
  </si>
  <si>
    <t xml:space="preserve">Apply brine and cool down the temp. to 2 deg C and maitain </t>
  </si>
  <si>
    <t>Again apply the brine and cool down the temperature to -10 deg C and agitate</t>
  </si>
  <si>
    <t>CW</t>
  </si>
  <si>
    <t>ATM</t>
  </si>
  <si>
    <t>25-30 deg C</t>
  </si>
  <si>
    <t>CW/Steam</t>
  </si>
  <si>
    <t>CHB</t>
  </si>
  <si>
    <t>CHW/CW</t>
  </si>
  <si>
    <t>65 deg C</t>
  </si>
  <si>
    <t>Mass out Kg</t>
  </si>
  <si>
    <t>20-25 deg C</t>
  </si>
  <si>
    <t>8 deg C</t>
  </si>
  <si>
    <t>CHW/CHB</t>
  </si>
  <si>
    <t>24 deg C</t>
  </si>
  <si>
    <t>40 deg C</t>
  </si>
  <si>
    <t>5 deg C</t>
  </si>
  <si>
    <t>minus 2 deg C</t>
  </si>
  <si>
    <t>2 deg C</t>
  </si>
  <si>
    <t>minus 6 deg C</t>
  </si>
  <si>
    <t>minus 10 deg C</t>
  </si>
  <si>
    <t>minus 5 deg C</t>
  </si>
  <si>
    <t>33 deg C</t>
  </si>
  <si>
    <t>10 deg C</t>
  </si>
  <si>
    <t>Charge Aq. Layer</t>
  </si>
  <si>
    <t>10 KL</t>
  </si>
  <si>
    <t>Charge 250kg Sodium cyanide through manhole under vacuum and against air direaction</t>
  </si>
  <si>
    <t>Charge Cat-2</t>
  </si>
  <si>
    <t>Charge CFG-2 powder(qty:5kg) at 5 deg C</t>
  </si>
  <si>
    <t xml:space="preserve">Add CFG-2 powder </t>
  </si>
  <si>
    <t>Charge SC</t>
  </si>
  <si>
    <t>Equipment Name</t>
  </si>
  <si>
    <t>Batch Cycle Time</t>
  </si>
  <si>
    <t>MOC</t>
  </si>
  <si>
    <t>Nature</t>
  </si>
  <si>
    <t xml:space="preserve">Reactor Volume </t>
  </si>
  <si>
    <t>Temperature</t>
  </si>
  <si>
    <t>RPM</t>
  </si>
  <si>
    <t>Agitator Dia.</t>
  </si>
  <si>
    <t>Motor Power</t>
  </si>
  <si>
    <t>Mechanical Seal / Glad Packing</t>
  </si>
  <si>
    <t>Reactor Diameter</t>
  </si>
  <si>
    <t xml:space="preserve">Reactor Drawing </t>
  </si>
  <si>
    <t>MSGL</t>
  </si>
  <si>
    <t>6.3 KL</t>
  </si>
  <si>
    <t>CHW</t>
  </si>
  <si>
    <t>SS316</t>
  </si>
  <si>
    <t>5 KL</t>
  </si>
  <si>
    <t>steam</t>
  </si>
  <si>
    <t>HLE</t>
  </si>
  <si>
    <t>-</t>
  </si>
  <si>
    <t>Charge IN-1 under vacuum by drum</t>
  </si>
  <si>
    <t>Slow addition of prepared mixture  in 4 hr at 20-25 degree c</t>
  </si>
  <si>
    <t>Maintain the reaction mass for 1 hr @ 20-25 degree c</t>
  </si>
  <si>
    <t>increase to 40 degree c and then settle for 1 hr</t>
  </si>
  <si>
    <t>35 -40 deg C</t>
  </si>
  <si>
    <t>35- 40 deg c</t>
  </si>
  <si>
    <t>Add 250kg hypo and 1000kg water stirr for 30 min and settling</t>
  </si>
  <si>
    <t>700 mmHg</t>
  </si>
  <si>
    <t>Charge Base - Liquid</t>
  </si>
  <si>
    <t xml:space="preserve">Again apply brine and cool down the temperature - 5 deg C an d maintain </t>
  </si>
  <si>
    <t>Apply brine and cool down the temp. to -10 deg C and maitain</t>
  </si>
  <si>
    <t>settling for 30 and drain the Aq. Layer to ETP</t>
  </si>
  <si>
    <t xml:space="preserve">Add 1500kg water stire for 20 min </t>
  </si>
  <si>
    <t xml:space="preserve">Add 3Kg SBC and 1500kg water to the reactor stire for 30 min </t>
  </si>
  <si>
    <t xml:space="preserve">receive IPA water material </t>
  </si>
  <si>
    <t>3 KL</t>
  </si>
  <si>
    <t>90 degg</t>
  </si>
  <si>
    <t>add 500 lit water at 90 degree c</t>
  </si>
  <si>
    <t>Receive 2 kl IPA</t>
  </si>
  <si>
    <t>30 degree</t>
  </si>
  <si>
    <t xml:space="preserve">add caustic flakes - 250 Kg </t>
  </si>
  <si>
    <t>Check moisture content in upper layer ( 5% ) and separate the mass</t>
  </si>
  <si>
    <t xml:space="preserve">Drum out and </t>
  </si>
  <si>
    <t>Start heating and get 90 degree temp ( atm) AND START RECEOVERY OF IPA</t>
  </si>
  <si>
    <t>700 mm hg</t>
  </si>
  <si>
    <t>packing</t>
  </si>
  <si>
    <t>60 degree</t>
  </si>
  <si>
    <t>apply vaccum and raise temp to 70 degree for recovery</t>
  </si>
  <si>
    <t xml:space="preserve">70 degree </t>
  </si>
  <si>
    <t>drum out as it is 30% CFG-2 and recycle back to reaction reactor</t>
  </si>
  <si>
    <t>Molecular weight</t>
  </si>
  <si>
    <t>Utility
Brine/CW/CHW/steam/ Nitrogen blanketing</t>
  </si>
  <si>
    <t>Remarks</t>
  </si>
  <si>
    <t>Reaction</t>
  </si>
  <si>
    <t>HEXANE</t>
  </si>
  <si>
    <t>MPBD</t>
  </si>
  <si>
    <t>IN-1</t>
  </si>
  <si>
    <t>Hrs</t>
  </si>
  <si>
    <t>WATER</t>
  </si>
  <si>
    <t>HYPO</t>
  </si>
  <si>
    <t>IPA</t>
  </si>
  <si>
    <t>SODIUM CYANIDE</t>
  </si>
  <si>
    <t>SC</t>
  </si>
  <si>
    <t>Cat - 2</t>
  </si>
  <si>
    <t>Mixer</t>
  </si>
  <si>
    <t>ACETIC ACID</t>
  </si>
  <si>
    <t>BASE - LIQUID</t>
  </si>
  <si>
    <t>CFG - 2 POWDER</t>
  </si>
  <si>
    <t>HCL</t>
  </si>
  <si>
    <t>SBC</t>
  </si>
  <si>
    <t>Organic Layer</t>
  </si>
  <si>
    <t>AQ. LAYER</t>
  </si>
  <si>
    <t>CAUSTIC</t>
  </si>
  <si>
    <t>TOTAL</t>
  </si>
  <si>
    <t>FV TO ATM</t>
  </si>
  <si>
    <t>8 TO 35 Deg. C max.</t>
  </si>
  <si>
    <t>Agitator Type</t>
  </si>
  <si>
    <t>MINUS 10 TO 85 Deg. C max.</t>
  </si>
  <si>
    <t>HYPO TREATMENT</t>
  </si>
  <si>
    <t>45 Deg. C max.</t>
  </si>
  <si>
    <t>95 Deg. C max.</t>
  </si>
  <si>
    <t>GLR</t>
  </si>
  <si>
    <t>minus 10 to 45 Deg. C max.</t>
  </si>
  <si>
    <t>10 TO 35 DEG. C MAX.</t>
  </si>
  <si>
    <t>RM</t>
  </si>
  <si>
    <t xml:space="preserve">Chemical Name </t>
  </si>
  <si>
    <t>CAS Number</t>
  </si>
  <si>
    <t>Molecular Formula</t>
  </si>
  <si>
    <t>State of Chemical</t>
  </si>
  <si>
    <t>Mol Wt.
 (Kg/Kmol)</t>
  </si>
  <si>
    <r>
      <t>Density 
(Kg/m</t>
    </r>
    <r>
      <rPr>
        <b/>
        <vertAlign val="superscript"/>
        <sz val="14"/>
        <color theme="1"/>
        <rFont val="Times New Roman"/>
        <family val="1"/>
      </rPr>
      <t>3</t>
    </r>
    <r>
      <rPr>
        <b/>
        <sz val="14"/>
        <color theme="1"/>
        <rFont val="Times New Roman"/>
        <family val="1"/>
      </rPr>
      <t>)</t>
    </r>
  </si>
  <si>
    <t>Specific Gravity</t>
  </si>
  <si>
    <t xml:space="preserve">MP (°C) </t>
  </si>
  <si>
    <t>BP (°C)</t>
  </si>
  <si>
    <t xml:space="preserve">Flash point
(°C) </t>
  </si>
  <si>
    <t>Vapor Density
(kg/m3)</t>
  </si>
  <si>
    <t xml:space="preserve">Auto Ignition Temperature(°C) </t>
  </si>
  <si>
    <t>Cp 
(KJ/Kg K)</t>
  </si>
  <si>
    <t>Cp 
(Kcal/Kg K)</t>
  </si>
  <si>
    <t>∆Hvap 
(KJ/Kg)</t>
  </si>
  <si>
    <t>∆Hf 
(KJ/mol)</t>
  </si>
  <si>
    <t>PH</t>
  </si>
  <si>
    <t>Solubility in Water</t>
  </si>
  <si>
    <t>Viscocity
(cP)</t>
  </si>
  <si>
    <t>Vapour Pressure</t>
  </si>
  <si>
    <t>Corrosivity</t>
  </si>
  <si>
    <t>SODIUM  CYANIDE</t>
  </si>
  <si>
    <t>MIXER</t>
  </si>
  <si>
    <t>CAT-2</t>
  </si>
  <si>
    <t>CFG-2 POWDER</t>
  </si>
  <si>
    <t xml:space="preserve">CAUSTIC </t>
  </si>
  <si>
    <t>HE Primary</t>
  </si>
  <si>
    <t>Utility</t>
  </si>
  <si>
    <t>Area (m2)</t>
  </si>
  <si>
    <t>Type</t>
  </si>
  <si>
    <t>HE Secondary</t>
  </si>
  <si>
    <t>INPUT</t>
  </si>
  <si>
    <t>KG</t>
  </si>
  <si>
    <t>OUTPUT</t>
  </si>
  <si>
    <t>Hexane</t>
  </si>
  <si>
    <t>Total Input</t>
  </si>
  <si>
    <t>Total Output</t>
  </si>
  <si>
    <t>Sodium Cyanide</t>
  </si>
  <si>
    <t>Cat-2</t>
  </si>
  <si>
    <t>CFG-2 Powder</t>
  </si>
  <si>
    <t>Hypo</t>
  </si>
  <si>
    <t>Water</t>
  </si>
  <si>
    <t>Filtered ML</t>
  </si>
  <si>
    <t>Dry Powder - Packing</t>
  </si>
  <si>
    <t>Base - Liquid</t>
  </si>
  <si>
    <t>1st - Water Wash</t>
  </si>
  <si>
    <t>3rd - Water Wash</t>
  </si>
  <si>
    <t>5th - Water Wash</t>
  </si>
  <si>
    <r>
      <t xml:space="preserve">Detox Mass - </t>
    </r>
    <r>
      <rPr>
        <b/>
        <sz val="12"/>
        <color rgb="FFFF0000"/>
        <rFont val="Calibri"/>
        <family val="2"/>
        <scheme val="minor"/>
      </rPr>
      <t>ETP</t>
    </r>
  </si>
  <si>
    <t>6.3 KL GLR</t>
  </si>
  <si>
    <t>10 KL SSR</t>
  </si>
  <si>
    <t>6.3 KL GLR / Crystallization</t>
  </si>
  <si>
    <t>5 KL SS / ANFD</t>
  </si>
  <si>
    <t>Reaction Mass</t>
  </si>
  <si>
    <t>2nd - Water Wash Hypo + Water</t>
  </si>
  <si>
    <r>
      <t xml:space="preserve">2nd Water Wash Aq. Layer - </t>
    </r>
    <r>
      <rPr>
        <b/>
        <sz val="12"/>
        <color rgb="FFFF0000"/>
        <rFont val="Calibri"/>
        <family val="2"/>
        <scheme val="minor"/>
      </rPr>
      <t>ETP</t>
    </r>
  </si>
  <si>
    <r>
      <t xml:space="preserve">3rd Water Wash Aq. Layer - </t>
    </r>
    <r>
      <rPr>
        <b/>
        <sz val="12"/>
        <color rgb="FFFF0000"/>
        <rFont val="Calibri"/>
        <family val="2"/>
        <scheme val="minor"/>
      </rPr>
      <t>ETP</t>
    </r>
  </si>
  <si>
    <t xml:space="preserve">4th Water Wash + Acetic Acid </t>
  </si>
  <si>
    <r>
      <t xml:space="preserve">4thWater Wash Aq. Layer - </t>
    </r>
    <r>
      <rPr>
        <b/>
        <sz val="12"/>
        <color rgb="FFFF0000"/>
        <rFont val="Calibri"/>
        <family val="2"/>
        <scheme val="minor"/>
      </rPr>
      <t>ETP</t>
    </r>
  </si>
  <si>
    <t>Recover Solvent - ATM</t>
  </si>
  <si>
    <t>Recover Solvent - Vacuum</t>
  </si>
  <si>
    <t>1st Lot Addition - HCL + Water</t>
  </si>
  <si>
    <t>2nd Lot Addition - HCL + Water</t>
  </si>
  <si>
    <t>3rd Lot Addition - HCL + Water</t>
  </si>
  <si>
    <t>6th - Water Wash</t>
  </si>
  <si>
    <t>After Water Wash Sudden Water Wash ??</t>
  </si>
  <si>
    <t>7th - Water Wash</t>
  </si>
  <si>
    <r>
      <t xml:space="preserve">6th Water Wash Aq. Layer - </t>
    </r>
    <r>
      <rPr>
        <b/>
        <sz val="12"/>
        <color rgb="FFFF0000"/>
        <rFont val="Calibri"/>
        <family val="2"/>
        <scheme val="minor"/>
      </rPr>
      <t>ETP</t>
    </r>
  </si>
  <si>
    <t>8th Water Wash</t>
  </si>
  <si>
    <r>
      <t>8th Water Wash Aq. Layer -</t>
    </r>
    <r>
      <rPr>
        <b/>
        <sz val="12"/>
        <color rgb="FFFF0000"/>
        <rFont val="Calibri"/>
        <family val="2"/>
        <scheme val="minor"/>
      </rPr>
      <t xml:space="preserve"> ETP</t>
    </r>
  </si>
  <si>
    <t xml:space="preserve">9th Water Wash + SBC </t>
  </si>
  <si>
    <r>
      <t xml:space="preserve">9th Water Wash Aq. Layer - </t>
    </r>
    <r>
      <rPr>
        <b/>
        <sz val="12"/>
        <color rgb="FFFF0000"/>
        <rFont val="Calibri"/>
        <family val="2"/>
        <scheme val="minor"/>
      </rPr>
      <t>ETP</t>
    </r>
  </si>
  <si>
    <t>10th Water Wash + Acetic Acid</t>
  </si>
  <si>
    <r>
      <t xml:space="preserve">10th Water Wash Aq. Layer - </t>
    </r>
    <r>
      <rPr>
        <b/>
        <sz val="12"/>
        <color rgb="FFFF0000"/>
        <rFont val="Calibri"/>
        <family val="2"/>
        <scheme val="minor"/>
      </rPr>
      <t>ETP</t>
    </r>
  </si>
  <si>
    <t>ML From ANFD-101</t>
  </si>
  <si>
    <t>Recovered Hexane - Vacuum</t>
  </si>
  <si>
    <t>Recovered Hexane - ATM</t>
  </si>
  <si>
    <t>Residue - Drum</t>
  </si>
  <si>
    <t>cool the mass and send to ETP</t>
  </si>
  <si>
    <r>
      <rPr>
        <b/>
        <sz val="12"/>
        <rFont val="Calibri"/>
        <family val="2"/>
        <scheme val="minor"/>
      </rPr>
      <t>Remaining Reaction Mass -</t>
    </r>
    <r>
      <rPr>
        <b/>
        <sz val="12"/>
        <color rgb="FFFF0000"/>
        <rFont val="Calibri"/>
        <family val="2"/>
        <scheme val="minor"/>
      </rPr>
      <t xml:space="preserve"> ETP</t>
    </r>
  </si>
  <si>
    <t>Caustic Flakes</t>
  </si>
  <si>
    <t>Reaction Mass - Separation Layer</t>
  </si>
  <si>
    <t>Recovered IPA - ATM</t>
  </si>
  <si>
    <t>Recovered - IPA</t>
  </si>
  <si>
    <t>Recovered IPA</t>
  </si>
  <si>
    <t>1st Aq. Layer of IPA from R128</t>
  </si>
  <si>
    <t>Aq. Cyanide Layer from R128</t>
  </si>
  <si>
    <t>NA</t>
  </si>
  <si>
    <t>600-650mmHg</t>
  </si>
  <si>
    <t>Steam/CW</t>
  </si>
  <si>
    <t>NR</t>
  </si>
  <si>
    <t>500-600mmHg</t>
  </si>
  <si>
    <t>CHB/CHW</t>
  </si>
  <si>
    <t>25-30 deg  c</t>
  </si>
  <si>
    <t>liquid</t>
  </si>
  <si>
    <t>Insoluble</t>
  </si>
  <si>
    <t>160mbar</t>
  </si>
  <si>
    <t>NO</t>
  </si>
  <si>
    <t>&gt;112</t>
  </si>
  <si>
    <t>No</t>
  </si>
  <si>
    <t>Liquid</t>
  </si>
  <si>
    <t>1.44 gm/cc</t>
  </si>
  <si>
    <t>Yes</t>
  </si>
  <si>
    <t>6-7</t>
  </si>
  <si>
    <t>Solid</t>
  </si>
  <si>
    <t>11-12</t>
  </si>
  <si>
    <t>1hPa at 817°C</t>
  </si>
  <si>
    <t>Partially Soluble</t>
  </si>
  <si>
    <t>100-104</t>
  </si>
  <si>
    <t>Soluble</t>
  </si>
  <si>
    <t>16-16.5</t>
  </si>
  <si>
    <t>117-118</t>
  </si>
  <si>
    <t>&lt;2.5</t>
  </si>
  <si>
    <t>1.53mPa.s</t>
  </si>
  <si>
    <t>1.52kPa</t>
  </si>
  <si>
    <t>81-83</t>
  </si>
  <si>
    <t>miscible</t>
  </si>
  <si>
    <t>2.27mPa.s</t>
  </si>
  <si>
    <t>43mmhg</t>
  </si>
  <si>
    <t>1.8mPa.s</t>
  </si>
  <si>
    <t>Slightly soluble</t>
  </si>
  <si>
    <t>1 mBar</t>
  </si>
  <si>
    <t>Acidic</t>
  </si>
  <si>
    <t xml:space="preserve">Single </t>
  </si>
  <si>
    <t>Anchor</t>
  </si>
  <si>
    <t>SS</t>
  </si>
  <si>
    <t>Basic &amp; Acidic</t>
  </si>
  <si>
    <t>Double</t>
  </si>
  <si>
    <t>Propeller</t>
  </si>
  <si>
    <t>PBT</t>
  </si>
  <si>
    <t>Graphite</t>
  </si>
  <si>
    <t>Blade</t>
  </si>
  <si>
    <t>Basic</t>
  </si>
  <si>
    <r>
      <t xml:space="preserve">5th Water Wash Aq. Layer - </t>
    </r>
    <r>
      <rPr>
        <b/>
        <sz val="12"/>
        <color rgb="FFFF0000"/>
        <rFont val="Calibri"/>
        <family val="2"/>
        <scheme val="minor"/>
      </rPr>
      <t>ETP</t>
    </r>
  </si>
  <si>
    <t>Charge MPBD under vacuum through drum</t>
  </si>
  <si>
    <t>Separate lower layer of IPA+water and send it to the IPA recovery reactor (R-1318/ R-1319)</t>
  </si>
  <si>
    <t>Apply steam and recovery hexane at atm</t>
  </si>
  <si>
    <t>ATM distillation - raise temp to 90 degg</t>
  </si>
  <si>
    <t>Charge 1200 kg water</t>
  </si>
  <si>
    <t xml:space="preserve">Hexane Receive in Reacter By Pump From Hexane Day Tank (DT-1402 / DT-XXXX) </t>
  </si>
  <si>
    <t>25 - 30 Deg. C</t>
  </si>
  <si>
    <t>BCT is consider for mixture feeding</t>
  </si>
  <si>
    <t>Layer separation and Aq. Cyanide layer to 10 KL SSR ( R-1215 / R-1216) reactor by vacuum for hypo treatment</t>
  </si>
  <si>
    <t>Charge 3500 kg hexane at RT with respective day tank (DT-XXXX).</t>
  </si>
  <si>
    <t>Separate Aq. Layer to (R-1215 / R-1216)</t>
  </si>
  <si>
    <t>Charge 10kg Acetic Acid(98%) from Glass Pot (GP-1306 / GP-1307 / GP-1308 / GP-1309 / GP-1310 / GP-1311 / GP-1312 / GP-1313) &amp; 1500kg water and stire for for 30 min</t>
  </si>
  <si>
    <t>Addition of  1st lot of 60kg HCL(30%) and 200kg water sol. From addition vessel (AV-1310 / AV-1311 / AV-1312 / AV-1313 / AV-1314 / AV-1315 / AV-1316 / AV-1317) to the reaction mass at -10 deg C for 4 hr</t>
  </si>
  <si>
    <t>Addition of  3rd lot of 60kg HCL(30%) and 200kg water sol. From addition vessel (AV-1310 / AV-1311 / AV-1312 / AV-1313 / AV-1314 / AV-1315 / AV-1316 / AV-1317) to the reaction mass at 5 deg C for 4 hr</t>
  </si>
  <si>
    <t>Need Confirmation send to Reactor / ETP</t>
  </si>
  <si>
    <t>Charge 10kg Acetic Acid(98%)  and 1500kg water and stire for 30 min</t>
  </si>
  <si>
    <t>Organic Layer Send to Crystallization reactor (R-1212/R-1213/ R-1214)</t>
  </si>
  <si>
    <t>Transfer the organic layer to the crystalization reactor (R-1212 / R-1213 / R-1214)</t>
  </si>
  <si>
    <t>Addition of  2nd lot of 60kg HCL(30%) and 200kg water sol. From addition vessel (AV-1310 / AV-1311 / AV-1312 / AV-1313 / AV-1314 / AV-1315 / AV-1316 / AV-1317) to the reaction mass at -10 deg C for 4 hr</t>
  </si>
  <si>
    <t>filter the ml and send for Hexane Recovery Reactor (R-1217 / R-1218)</t>
  </si>
  <si>
    <t>recived ml from ANFD (ANFD-1104 / ANFD-1105 / ANFD-1106 / ANFD-1107)</t>
  </si>
  <si>
    <t>Recived ml from Crystallization Reactor (R-1212 / R-1213 / R-1214)</t>
  </si>
  <si>
    <t>6.3 KL GLR Crystallization Reactor (R-1212 / R-1213 / R-1214)                                                Reactor Qty : 3 Nos</t>
  </si>
  <si>
    <t>10 KL SSR Neutralization Reactor - Hypo Treatment (R-1215 /  R-1216)                                Reactor Qty : 2 Nos</t>
  </si>
  <si>
    <t>3 KL GLR IPA Water Recovery (R-1318/ R-1319)                                                                     Reactor Qty : 2 Nos</t>
  </si>
  <si>
    <t>10 KL SSR IPA Distillation Reactor (R-1219)                                                                            Reactor Qty : 1 Nos</t>
  </si>
  <si>
    <t>3 KL SSR Cyanide Reactor (R-1402)                                                                                            Reactor Qty : 1 Nos</t>
  </si>
  <si>
    <t>6.3 KL GLR Pre Mixer (PM-1402 / PM-XXXX)                                                                        Reactor Qty : 2 Nos</t>
  </si>
  <si>
    <t>5 KL SS ANFD (ANFD-1104 / ANFD-1105 / ANFD-1106 / ANFD-1107)                                       Qty : 4 Nos</t>
  </si>
  <si>
    <t>CW / CHW</t>
  </si>
  <si>
    <t>Kg / Batch</t>
  </si>
  <si>
    <t>RM Consumption per Batch</t>
  </si>
  <si>
    <t>Reactor Tag</t>
  </si>
  <si>
    <t>Max. Rector Vol.</t>
  </si>
  <si>
    <t>Reactor Vol.</t>
  </si>
  <si>
    <t>Occupancy %</t>
  </si>
  <si>
    <t xml:space="preserve">BCT </t>
  </si>
  <si>
    <t>Hrs.</t>
  </si>
  <si>
    <t>Kg</t>
  </si>
  <si>
    <t>OUTPUT PER DAY</t>
  </si>
  <si>
    <t>Kg / Day</t>
  </si>
  <si>
    <t>NOS. OF REACTOR</t>
  </si>
  <si>
    <t>Nos.</t>
  </si>
  <si>
    <t>TOTAL PRODUCTION PER DAY</t>
  </si>
  <si>
    <t>WORKING DAY</t>
  </si>
  <si>
    <t>Days</t>
  </si>
  <si>
    <t xml:space="preserve">TOTAL PRODUCTION MONTHLY </t>
  </si>
  <si>
    <t>MT / Month</t>
  </si>
  <si>
    <t>Acetic Acid</t>
  </si>
  <si>
    <t>HCl</t>
  </si>
  <si>
    <t>Caustic flake</t>
  </si>
  <si>
    <t>Base Liq.</t>
  </si>
  <si>
    <t>CFG Powder</t>
  </si>
  <si>
    <t>R-1310 / R-1311 / R-1312 / R-1313 / R-1314 / R-1315 / R-1316 / R-1317</t>
  </si>
  <si>
    <t xml:space="preserve">R-1212/ R-1213/ R-1214  </t>
  </si>
  <si>
    <t>R-1219</t>
  </si>
  <si>
    <r>
      <rPr>
        <b/>
        <sz val="12"/>
        <color theme="1"/>
        <rFont val="Calibri"/>
        <family val="2"/>
        <scheme val="minor"/>
      </rPr>
      <t xml:space="preserve">Reactor - Crystallization
</t>
    </r>
    <r>
      <rPr>
        <b/>
        <sz val="12"/>
        <color rgb="FFFF0000"/>
        <rFont val="Calibri"/>
        <family val="2"/>
        <scheme val="minor"/>
      </rPr>
      <t>Capacity : 6.3 KL</t>
    </r>
    <r>
      <rPr>
        <b/>
        <sz val="12"/>
        <color theme="1"/>
        <rFont val="Calibri"/>
        <family val="2"/>
        <scheme val="minor"/>
      </rPr>
      <t xml:space="preserve">
Tag No : R-1212/ R-1213/ R-1214                                                      MOC : GLR                                                                     BCT : </t>
    </r>
    <r>
      <rPr>
        <b/>
        <sz val="12"/>
        <color rgb="FFFF0000"/>
        <rFont val="Calibri"/>
        <family val="2"/>
        <scheme val="minor"/>
      </rPr>
      <t>31.3 Hrs</t>
    </r>
    <r>
      <rPr>
        <sz val="12"/>
        <color theme="1"/>
        <rFont val="Calibri"/>
        <family val="2"/>
        <scheme val="minor"/>
      </rPr>
      <t xml:space="preserve">
</t>
    </r>
  </si>
  <si>
    <t>Project No.</t>
  </si>
  <si>
    <t>Document No.</t>
  </si>
  <si>
    <t xml:space="preserve">Issued for </t>
  </si>
  <si>
    <t>Prepared By</t>
  </si>
  <si>
    <t>Date</t>
  </si>
  <si>
    <t>Checked By</t>
  </si>
  <si>
    <t xml:space="preserve">Rev. </t>
  </si>
  <si>
    <t>Approved By</t>
  </si>
  <si>
    <t>Location</t>
  </si>
  <si>
    <t>1100 mm</t>
  </si>
  <si>
    <t>15 HP</t>
  </si>
  <si>
    <t>2100 mm</t>
  </si>
  <si>
    <t xml:space="preserve">PM - 1402 / PM - XXXX </t>
  </si>
  <si>
    <t>Cylindrical</t>
  </si>
  <si>
    <t>PM - 1402 / PM - XXXX</t>
  </si>
  <si>
    <t xml:space="preserve">FILTRATION </t>
  </si>
  <si>
    <t>R-1212 / R-1213 /          R-1214</t>
  </si>
  <si>
    <t>2450 mm</t>
  </si>
  <si>
    <t>2500 mm</t>
  </si>
  <si>
    <t>R-1212 / R-1213 /      R-1214</t>
  </si>
  <si>
    <t>400 mm</t>
  </si>
  <si>
    <t>600 mm</t>
  </si>
  <si>
    <t>1450 mm</t>
  </si>
  <si>
    <t>1400 mm</t>
  </si>
  <si>
    <t>1850 mm</t>
  </si>
  <si>
    <t>Box type</t>
  </si>
  <si>
    <t>Box Type</t>
  </si>
  <si>
    <t>Block - Cylindrical</t>
  </si>
  <si>
    <t>R-1215 / R-1216</t>
  </si>
  <si>
    <t>IPA + Water RECOVERY</t>
  </si>
  <si>
    <t>R-1318 / R-1319</t>
  </si>
  <si>
    <t>IPA Distillation</t>
  </si>
  <si>
    <r>
      <t xml:space="preserve">ANFD - Filtration + Drying
</t>
    </r>
    <r>
      <rPr>
        <b/>
        <sz val="12"/>
        <color rgb="FFFF0000"/>
        <rFont val="Calibri"/>
        <family val="2"/>
        <scheme val="minor"/>
      </rPr>
      <t>Capacity : 5 KL</t>
    </r>
    <r>
      <rPr>
        <b/>
        <sz val="12"/>
        <color theme="1"/>
        <rFont val="Calibri"/>
        <family val="2"/>
        <scheme val="minor"/>
      </rPr>
      <t xml:space="preserve">
Tag No : ANFD-1104 / ANFD-1105 / ANFD-1106 / ANFD-1107
 MOC : SS316                                                                BCT : </t>
    </r>
    <r>
      <rPr>
        <b/>
        <sz val="12"/>
        <color rgb="FFFF0000"/>
        <rFont val="Calibri"/>
        <family val="2"/>
        <scheme val="minor"/>
      </rPr>
      <t>3.3 Hrs</t>
    </r>
    <r>
      <rPr>
        <b/>
        <sz val="12"/>
        <color theme="1"/>
        <rFont val="Calibri"/>
        <family val="2"/>
        <scheme val="minor"/>
      </rPr>
      <t xml:space="preserve">
</t>
    </r>
  </si>
  <si>
    <t>Liquid Mass for Crystallization</t>
  </si>
  <si>
    <t>Liuid Mass</t>
  </si>
  <si>
    <t>Mixture feeding from Cyanide Reactor.</t>
  </si>
  <si>
    <t xml:space="preserve">Take it to ANFD (ANFD-1104 / ANFD-1105 / ANFD-1106 / ANFD-1107) and send the ML by vacuum to the same reactor (10 KL SSR) for hexane recovery </t>
  </si>
  <si>
    <t>10 KL SSR Hexane Recovery Reactor (R-1217 / R-1218)                                                        Reactor Qty : 2 Nos</t>
  </si>
  <si>
    <t>R-1217 / R-1218</t>
  </si>
  <si>
    <t>ANFD - 1104 / ANFD-1105 / ANFD-1106 / ANFD-1107</t>
  </si>
  <si>
    <t xml:space="preserve">2nd Aq. Layer of IPA + Water </t>
  </si>
  <si>
    <t xml:space="preserve">1st Aq. Layer of IPA + Water </t>
  </si>
  <si>
    <t>1st Water Wash Aq. Layer</t>
  </si>
  <si>
    <t>Main Aq. Cyanide Layer</t>
  </si>
  <si>
    <t>CRYSTALLIZATION</t>
  </si>
  <si>
    <t>10 KL SSR / Hexane recovery</t>
  </si>
  <si>
    <r>
      <rPr>
        <b/>
        <sz val="12"/>
        <color theme="1"/>
        <rFont val="Calibri"/>
        <family val="2"/>
        <scheme val="minor"/>
      </rPr>
      <t xml:space="preserve">   Reactor - Hexane Recovery
</t>
    </r>
    <r>
      <rPr>
        <b/>
        <sz val="12"/>
        <color rgb="FFFF0000"/>
        <rFont val="Calibri"/>
        <family val="2"/>
        <scheme val="minor"/>
      </rPr>
      <t>Capacity : 10 KL</t>
    </r>
    <r>
      <rPr>
        <b/>
        <sz val="12"/>
        <color theme="1"/>
        <rFont val="Calibri"/>
        <family val="2"/>
        <scheme val="minor"/>
      </rPr>
      <t xml:space="preserve">
Tag No : R-1217/ R-1218
 MOC : GLR                                                                          BCT : </t>
    </r>
    <r>
      <rPr>
        <b/>
        <sz val="12"/>
        <color rgb="FFFF0000"/>
        <rFont val="Calibri"/>
        <family val="2"/>
        <scheme val="minor"/>
      </rPr>
      <t>23.3 Hrs</t>
    </r>
    <r>
      <rPr>
        <sz val="12"/>
        <color theme="1"/>
        <rFont val="Calibri"/>
        <family val="2"/>
        <scheme val="minor"/>
      </rPr>
      <t xml:space="preserve">
</t>
    </r>
  </si>
  <si>
    <t>10 KL SS / Hypo Treatment</t>
  </si>
  <si>
    <t>Water from Cyanide Reactor (R-1402)</t>
  </si>
  <si>
    <t xml:space="preserve">Sodium Cyanide from (R-1402) </t>
  </si>
  <si>
    <r>
      <t xml:space="preserve">Reactor - Mixing
</t>
    </r>
    <r>
      <rPr>
        <b/>
        <sz val="12"/>
        <color rgb="FFFF0000"/>
        <rFont val="Calibri"/>
        <family val="2"/>
        <scheme val="minor"/>
      </rPr>
      <t>Capacity : 6.3 KL</t>
    </r>
    <r>
      <rPr>
        <b/>
        <sz val="12"/>
        <color theme="1"/>
        <rFont val="Calibri"/>
        <family val="2"/>
        <scheme val="minor"/>
      </rPr>
      <t xml:space="preserve">
Tag No : PM-1402 / PM-XXXX
 MOC : MSGL                                                                 BCT : </t>
    </r>
    <r>
      <rPr>
        <b/>
        <sz val="12"/>
        <color rgb="FFFF0000"/>
        <rFont val="Calibri"/>
        <family val="2"/>
        <scheme val="minor"/>
      </rPr>
      <t>16.5 Hrs</t>
    </r>
  </si>
  <si>
    <t>25-30 Deg. C</t>
  </si>
  <si>
    <r>
      <t xml:space="preserve">    </t>
    </r>
    <r>
      <rPr>
        <b/>
        <sz val="12"/>
        <color theme="1"/>
        <rFont val="Calibri"/>
        <family val="2"/>
        <scheme val="minor"/>
      </rPr>
      <t xml:space="preserve"> Reactor -  HYPO Treatment
</t>
    </r>
    <r>
      <rPr>
        <b/>
        <sz val="12"/>
        <color rgb="FFFF0000"/>
        <rFont val="Calibri"/>
        <family val="2"/>
        <scheme val="minor"/>
      </rPr>
      <t xml:space="preserve"> Capacity : 10 KL</t>
    </r>
    <r>
      <rPr>
        <b/>
        <sz val="12"/>
        <color theme="1"/>
        <rFont val="Calibri"/>
        <family val="2"/>
        <scheme val="minor"/>
      </rPr>
      <t xml:space="preserve">
Tag No : R-1215 / R-1216
 MOC : SS316                                                                BCT : </t>
    </r>
    <r>
      <rPr>
        <b/>
        <sz val="12"/>
        <color rgb="FFFF0000"/>
        <rFont val="Calibri"/>
        <family val="2"/>
        <scheme val="minor"/>
      </rPr>
      <t>14 Hrs</t>
    </r>
  </si>
  <si>
    <t>3 KL GLR / IPA + Water Reactor</t>
  </si>
  <si>
    <r>
      <t xml:space="preserve"> </t>
    </r>
    <r>
      <rPr>
        <b/>
        <sz val="12"/>
        <color theme="1"/>
        <rFont val="Calibri"/>
        <family val="2"/>
        <scheme val="minor"/>
      </rPr>
      <t xml:space="preserve">  Reactor - IPA + Water Recovery
 </t>
    </r>
    <r>
      <rPr>
        <b/>
        <sz val="12"/>
        <color rgb="FFFF0000"/>
        <rFont val="Calibri"/>
        <family val="2"/>
        <scheme val="minor"/>
      </rPr>
      <t>Capacity : 3 KL</t>
    </r>
    <r>
      <rPr>
        <b/>
        <sz val="12"/>
        <color theme="1"/>
        <rFont val="Calibri"/>
        <family val="2"/>
        <scheme val="minor"/>
      </rPr>
      <t xml:space="preserve">
Tag NO : R-1318 / R-1319
 MOC : MSGL                                                               BCT : </t>
    </r>
    <r>
      <rPr>
        <b/>
        <sz val="12"/>
        <color rgb="FFFF0000"/>
        <rFont val="Calibri"/>
        <family val="2"/>
        <scheme val="minor"/>
      </rPr>
      <t>13 Hrs</t>
    </r>
  </si>
  <si>
    <r>
      <rPr>
        <b/>
        <sz val="12"/>
        <color theme="1"/>
        <rFont val="Calibri"/>
        <family val="2"/>
        <scheme val="minor"/>
      </rPr>
      <t xml:space="preserve"> Reactor - IPA Distillation 
 </t>
    </r>
    <r>
      <rPr>
        <b/>
        <sz val="12"/>
        <color rgb="FFFF0000"/>
        <rFont val="Calibri"/>
        <family val="2"/>
        <scheme val="minor"/>
      </rPr>
      <t>Capacity : 10 KL</t>
    </r>
    <r>
      <rPr>
        <b/>
        <sz val="12"/>
        <color theme="1"/>
        <rFont val="Calibri"/>
        <family val="2"/>
        <scheme val="minor"/>
      </rPr>
      <t xml:space="preserve">
Tag NO : R-1219                                                            MOC : SS316                                                                        BCT : </t>
    </r>
    <r>
      <rPr>
        <b/>
        <sz val="12"/>
        <color rgb="FFFF0000"/>
        <rFont val="Calibri"/>
        <family val="2"/>
        <scheme val="minor"/>
      </rPr>
      <t>13 Hrs</t>
    </r>
    <r>
      <rPr>
        <sz val="11"/>
        <color theme="1"/>
        <rFont val="Calibri"/>
        <family val="2"/>
        <scheme val="minor"/>
      </rPr>
      <t xml:space="preserve">
</t>
    </r>
  </si>
  <si>
    <t>10 KL SSR / IPA Distillation</t>
  </si>
  <si>
    <r>
      <rPr>
        <b/>
        <sz val="12"/>
        <color theme="1"/>
        <rFont val="Calibri"/>
        <family val="2"/>
        <scheme val="minor"/>
      </rPr>
      <t xml:space="preserve">Reactor  - Reaction                                                          Layer Separation                                                            &amp; Distillation
 </t>
    </r>
    <r>
      <rPr>
        <b/>
        <sz val="12"/>
        <color rgb="FFFF0000"/>
        <rFont val="Calibri"/>
        <family val="2"/>
        <scheme val="minor"/>
      </rPr>
      <t>Capacity : 10 KL</t>
    </r>
    <r>
      <rPr>
        <b/>
        <sz val="12"/>
        <color theme="1"/>
        <rFont val="Calibri"/>
        <family val="2"/>
        <scheme val="minor"/>
      </rPr>
      <t xml:space="preserve">
Tag No : R-1310 / R-1311 / R-1312 / R-1313 / R-1314 / R-1315 / R-1316 / R-1317
 MOC : SS316                                                                    BCT : 171</t>
    </r>
    <r>
      <rPr>
        <b/>
        <sz val="12"/>
        <color rgb="FFFF0000"/>
        <rFont val="Calibri"/>
        <family val="2"/>
        <scheme val="minor"/>
      </rPr>
      <t xml:space="preserve"> Hrs</t>
    </r>
    <r>
      <rPr>
        <b/>
        <sz val="14"/>
        <color theme="1"/>
        <rFont val="Calibri"/>
        <family val="2"/>
        <scheme val="minor"/>
      </rPr>
      <t xml:space="preserve">
</t>
    </r>
  </si>
  <si>
    <t>10 KL SSR (R-1310 / R-1311 / R-1312 / R-1313 / R-1314 / R-1315 / R-1316 / R-1317)  Reactor Qty : 8 Nos</t>
  </si>
  <si>
    <t>REACTION</t>
  </si>
  <si>
    <t>975 mm</t>
  </si>
  <si>
    <t>10 HP</t>
  </si>
  <si>
    <t>2200 mm</t>
  </si>
  <si>
    <t>R-1310 to R-1317</t>
  </si>
  <si>
    <t xml:space="preserve"> Once we get approval on bct after that we shall proceed for sizing of   R-1219 Capacity </t>
  </si>
  <si>
    <t>Sr. No.</t>
  </si>
  <si>
    <t>Equipment</t>
  </si>
  <si>
    <t>Capacity                                                                                                                 (KL)</t>
  </si>
  <si>
    <t xml:space="preserve">Step No. </t>
  </si>
  <si>
    <t>Utility Time                                                           (hr)</t>
  </si>
  <si>
    <t>Steam                                                        (Kg/hr)</t>
  </si>
  <si>
    <t>Total Steam                                  (Kg)</t>
  </si>
  <si>
    <t>Cooling Water                                                             (m3/hr)</t>
  </si>
  <si>
    <t>Total Cooling Water                                  (m3)</t>
  </si>
  <si>
    <t>Chilling Water                                                             (m3/hr)</t>
  </si>
  <si>
    <t>Total Chilling Water                                                             (m3)</t>
  </si>
  <si>
    <t>Brine                                                              (m3/hr)</t>
  </si>
  <si>
    <t>Total Brine                                                        (m3)</t>
  </si>
  <si>
    <t>Hot Water                                                             (m3/hr)</t>
  </si>
  <si>
    <t>Total Hot Water                                                        (m3)</t>
  </si>
  <si>
    <t>Vacuum                                         (mmHg)</t>
  </si>
  <si>
    <t>Nitrogen                                                             (m3/hr)</t>
  </si>
  <si>
    <t>Total Nitrogen                                                        (m3)</t>
  </si>
  <si>
    <t>Compressed Air                                                             (m3/hr)</t>
  </si>
  <si>
    <t>Total Compressed Air                                                      (m3)</t>
  </si>
  <si>
    <t>Tag No.</t>
  </si>
  <si>
    <t>Description</t>
  </si>
  <si>
    <t>Hexane Charging Vessel</t>
  </si>
  <si>
    <t>PM-1441</t>
  </si>
  <si>
    <t>Pre-Mixer</t>
  </si>
  <si>
    <t>1-2</t>
  </si>
  <si>
    <t>Reactor</t>
  </si>
  <si>
    <t>1-3</t>
  </si>
  <si>
    <t>Agitated Nutche Filter Dryer</t>
  </si>
  <si>
    <t>R-1241/R-1242</t>
  </si>
  <si>
    <t>Hexane Reovery</t>
  </si>
  <si>
    <t>Peak</t>
  </si>
  <si>
    <t>Avg. Requirement</t>
  </si>
  <si>
    <t>AV-XXXX</t>
  </si>
  <si>
    <t>HDPE</t>
  </si>
  <si>
    <t>4-5</t>
  </si>
  <si>
    <t>R-1441</t>
  </si>
  <si>
    <t>Cyanide Reactor</t>
  </si>
  <si>
    <t>R-1341/R-1342/R-1343</t>
  </si>
  <si>
    <t>1-5</t>
  </si>
  <si>
    <t>6-8</t>
  </si>
  <si>
    <t>9</t>
  </si>
  <si>
    <t>11</t>
  </si>
  <si>
    <t>14</t>
  </si>
  <si>
    <t>16</t>
  </si>
  <si>
    <t>18</t>
  </si>
  <si>
    <t>20</t>
  </si>
  <si>
    <t>22</t>
  </si>
  <si>
    <t>23-1</t>
  </si>
  <si>
    <t>23-2</t>
  </si>
  <si>
    <t>24-26</t>
  </si>
  <si>
    <t>27-29</t>
  </si>
  <si>
    <t>HCl Charging Vessel</t>
  </si>
  <si>
    <t>31-32</t>
  </si>
  <si>
    <t>33</t>
  </si>
  <si>
    <t>34</t>
  </si>
  <si>
    <t>35-1</t>
  </si>
  <si>
    <t>35-2</t>
  </si>
  <si>
    <t>35-3</t>
  </si>
  <si>
    <t>38</t>
  </si>
  <si>
    <t>40</t>
  </si>
  <si>
    <t>41</t>
  </si>
  <si>
    <t>42</t>
  </si>
  <si>
    <t>43</t>
  </si>
  <si>
    <t>44</t>
  </si>
  <si>
    <t>45</t>
  </si>
  <si>
    <t>47</t>
  </si>
  <si>
    <t>49</t>
  </si>
  <si>
    <t>R-XXXX</t>
  </si>
  <si>
    <t>Neutralization Reactor</t>
  </si>
  <si>
    <t>1-4</t>
  </si>
  <si>
    <t>IPA Water Recovery</t>
  </si>
  <si>
    <t>2</t>
  </si>
  <si>
    <t>3</t>
  </si>
  <si>
    <t>4-1</t>
  </si>
  <si>
    <t>4-2</t>
  </si>
  <si>
    <t>IPA Distillation Reactor</t>
  </si>
  <si>
    <t>5-1</t>
  </si>
  <si>
    <t>5-2</t>
  </si>
  <si>
    <t>6.3 KL GLR / Pre Mixer</t>
  </si>
  <si>
    <t>Step No.</t>
  </si>
  <si>
    <t>Reactor Use</t>
  </si>
  <si>
    <t>Reactor
Capacity (KL)</t>
  </si>
  <si>
    <t xml:space="preserve">Status </t>
  </si>
  <si>
    <t>Avg. Density 
 ( Kg/m3)</t>
  </si>
  <si>
    <t>Reaction
Temp
(Deg.C)</t>
  </si>
  <si>
    <t xml:space="preserve">Consider Vapor flow rate of mass </t>
  </si>
  <si>
    <t>Solvent used for reflux</t>
  </si>
  <si>
    <t xml:space="preserve">Reflux cycle
( no of times ) </t>
  </si>
  <si>
    <t xml:space="preserve">Solvent % in batch </t>
  </si>
  <si>
    <t>Chilling time (hrs)</t>
  </si>
  <si>
    <t xml:space="preserve">Chilling water Flow Rate (m3/hr)   </t>
  </si>
  <si>
    <t xml:space="preserve">1 to 3 </t>
  </si>
  <si>
    <t xml:space="preserve">Working </t>
  </si>
  <si>
    <t>Chilling Water Requirement</t>
  </si>
  <si>
    <t>Time Required for Chilling</t>
  </si>
  <si>
    <t>Chilling Water Supply</t>
  </si>
  <si>
    <t>Process Fluid Volume</t>
  </si>
  <si>
    <r>
      <t>m</t>
    </r>
    <r>
      <rPr>
        <vertAlign val="superscript"/>
        <sz val="12"/>
        <color theme="1"/>
        <rFont val="Times New Roman"/>
        <family val="1"/>
      </rPr>
      <t>3</t>
    </r>
  </si>
  <si>
    <t>Utility Inlet Temperature</t>
  </si>
  <si>
    <t>°C</t>
  </si>
  <si>
    <t>Heat Load</t>
  </si>
  <si>
    <t>kcal/hr</t>
  </si>
  <si>
    <t>Average Density of Process Fluid</t>
  </si>
  <si>
    <r>
      <t>kg/m</t>
    </r>
    <r>
      <rPr>
        <vertAlign val="superscript"/>
        <sz val="12"/>
        <color theme="1"/>
        <rFont val="Times New Roman"/>
        <family val="1"/>
      </rPr>
      <t>3</t>
    </r>
  </si>
  <si>
    <t>Specifc Heat of Process Liquid</t>
  </si>
  <si>
    <t>kcal/kg °C</t>
  </si>
  <si>
    <t>m3/hr</t>
  </si>
  <si>
    <t>Mass of Reaction Material</t>
  </si>
  <si>
    <t>kg</t>
  </si>
  <si>
    <t>Process Liquid Intial Temperature</t>
  </si>
  <si>
    <t>Average Specific Heat Considered</t>
  </si>
  <si>
    <t>Process Liquid Final Temperature</t>
  </si>
  <si>
    <t>Latent Heat of Vaporization of Solvent</t>
  </si>
  <si>
    <t xml:space="preserve">kcal/kg </t>
  </si>
  <si>
    <t>Effective Heat Transfer Area</t>
  </si>
  <si>
    <r>
      <t>m</t>
    </r>
    <r>
      <rPr>
        <vertAlign val="superscript"/>
        <sz val="12"/>
        <color theme="1"/>
        <rFont val="Times New Roman"/>
        <family val="1"/>
      </rPr>
      <t>2</t>
    </r>
  </si>
  <si>
    <t>Initial Temperature</t>
  </si>
  <si>
    <t xml:space="preserve">Overcall Heat Transfer Coefficient </t>
  </si>
  <si>
    <r>
      <t>kcal/hr*m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*°C</t>
    </r>
  </si>
  <si>
    <t xml:space="preserve">Final Temperature </t>
  </si>
  <si>
    <t>Approx. Heat Transfer Area of Reactor</t>
  </si>
  <si>
    <t>Time Calculated</t>
  </si>
  <si>
    <t>hr</t>
  </si>
  <si>
    <t xml:space="preserve">Thermodynamic Heat </t>
  </si>
  <si>
    <t>kcal</t>
  </si>
  <si>
    <t xml:space="preserve">We have assume the Chilling time (t) </t>
  </si>
  <si>
    <t>Chilling Time (t)</t>
  </si>
  <si>
    <t>min</t>
  </si>
  <si>
    <t>Chilling + Brine time (hrs)</t>
  </si>
  <si>
    <t>4 &amp; 5</t>
  </si>
  <si>
    <t>Brine Requirement</t>
  </si>
  <si>
    <t>Time Required for Brine</t>
  </si>
  <si>
    <t>Brine Supply</t>
  </si>
  <si>
    <t>3 KL SSR / Cyanide Reactor</t>
  </si>
  <si>
    <t xml:space="preserve">Chilling Water Flow Rate (m3/hr)   </t>
  </si>
  <si>
    <t>1 to 3</t>
  </si>
  <si>
    <t>SSR</t>
  </si>
  <si>
    <t>Thermodynamic Heat</t>
  </si>
  <si>
    <t>10 KL SSR / Reaction</t>
  </si>
  <si>
    <t>1 to 5</t>
  </si>
  <si>
    <t>25 - 30</t>
  </si>
  <si>
    <t xml:space="preserve">Time Required for Chilling </t>
  </si>
  <si>
    <t>6 to 8</t>
  </si>
  <si>
    <t>Heating Time (hrs)</t>
  </si>
  <si>
    <t xml:space="preserve">Steam Flow Rate (Kg/hr)   </t>
  </si>
  <si>
    <t>Steam Requirment</t>
  </si>
  <si>
    <t xml:space="preserve">Time Required for Heating </t>
  </si>
  <si>
    <t xml:space="preserve">Steam Supply </t>
  </si>
  <si>
    <t xml:space="preserve">We have assume the heating time (t) </t>
  </si>
  <si>
    <t>Heating Time (t)</t>
  </si>
  <si>
    <t>Steam Mass Flow rate</t>
  </si>
  <si>
    <t>kg/hr</t>
  </si>
  <si>
    <t>Latent Heat of Condensation of steam</t>
  </si>
  <si>
    <t>kcal/kg</t>
  </si>
  <si>
    <t>Thermodynamic Heat Requirement</t>
  </si>
  <si>
    <t>Reaction
Temp (Deg.C)</t>
  </si>
  <si>
    <t>Cooling + Chilling time (hrs)</t>
  </si>
  <si>
    <t xml:space="preserve">Cooling water Flow Rate (m3/hr)   </t>
  </si>
  <si>
    <t>Cooling Water Requirement</t>
  </si>
  <si>
    <t xml:space="preserve">Time Required for Cooling </t>
  </si>
  <si>
    <t>Cooling Water Supply</t>
  </si>
  <si>
    <t>24 to 26</t>
  </si>
  <si>
    <t xml:space="preserve">Brine water Flow Rate (m3/hr)   </t>
  </si>
  <si>
    <t>27 to 29</t>
  </si>
  <si>
    <t>31 to 32</t>
  </si>
  <si>
    <t xml:space="preserve">We have assume the Cooling time (t) </t>
  </si>
  <si>
    <t>Hypo Treatment Plant - 10 KL SSR</t>
  </si>
  <si>
    <t>1 to 4</t>
  </si>
  <si>
    <t>IPA Water Recovery Reactor - 3 KL GLR</t>
  </si>
  <si>
    <t>Cooling time (hrs)</t>
  </si>
  <si>
    <t>IPA Distillation Reactor - 10 KL SSR</t>
  </si>
  <si>
    <t>Crystallization Reactor - 6.3 KL GLR</t>
  </si>
  <si>
    <t>4</t>
  </si>
  <si>
    <t>Agitated Nutche Filter Dryer - 5 KL SSR</t>
  </si>
  <si>
    <t>Hexane Recovery Reactor - 10 KL SSR</t>
  </si>
  <si>
    <t>ANFD-XXXX</t>
  </si>
  <si>
    <t>Crystallization Reactor</t>
  </si>
  <si>
    <t>1-2-1</t>
  </si>
  <si>
    <t>1-2-2</t>
  </si>
  <si>
    <t>1-2-3</t>
  </si>
  <si>
    <t>4-3</t>
  </si>
  <si>
    <t>Min Req. Chilling Water Flow rate</t>
  </si>
  <si>
    <t>Calculated Flow rate</t>
  </si>
  <si>
    <t>Min. Req. Brine Flowrate</t>
  </si>
  <si>
    <t>Min. Req. Chilling Flowrate</t>
  </si>
  <si>
    <t>Min Req. Water Flow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</si>
</sst>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0.000"/>
  </numFmts>
  <fonts count="4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rgb="FF800080"/>
      <name val="Calibri"/>
      <family val="2"/>
      <scheme val="minor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color rgb="FF333333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name val="Calibri"/>
      <family val="2"/>
      <scheme val="minor"/>
    </font>
    <font>
      <strike/>
      <sz val="12"/>
      <color theme="1"/>
      <name val="Times New Roman"/>
      <family val="1"/>
    </font>
    <font>
      <b/>
      <sz val="14"/>
      <name val="Times New Roman"/>
      <family val="1"/>
    </font>
    <font>
      <sz val="8"/>
      <name val="Calibri"/>
      <family val="2"/>
      <scheme val="minor"/>
    </font>
    <font>
      <b/>
      <sz val="36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color theme="9" tint="-0.499984740745262"/>
      <name val="Times New Roman"/>
      <family val="1"/>
    </font>
    <font>
      <sz val="12"/>
      <color theme="1"/>
      <name val="Calibri"/>
      <family val="2"/>
    </font>
    <font>
      <b/>
      <sz val="16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1" fillId="0" borderId="0"/>
    <xf numFmtId="0" fontId="17" fillId="0" borderId="0" applyNumberFormat="0" applyFill="0" applyBorder="0" applyAlignment="0" applyProtection="0"/>
    <xf numFmtId="0" fontId="14" fillId="0" borderId="0"/>
    <xf numFmtId="0" fontId="3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76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7" borderId="22" xfId="1" applyFont="1" applyFill="1" applyBorder="1" applyAlignment="1">
      <alignment horizontal="center" vertical="center"/>
    </xf>
    <xf numFmtId="0" fontId="6" fillId="7" borderId="23" xfId="1" applyFont="1" applyFill="1" applyBorder="1" applyAlignment="1">
      <alignment horizontal="center" vertical="center"/>
    </xf>
    <xf numFmtId="0" fontId="6" fillId="7" borderId="23" xfId="1" applyFont="1" applyFill="1" applyBorder="1" applyAlignment="1">
      <alignment horizontal="center" vertical="center" wrapText="1"/>
    </xf>
    <xf numFmtId="0" fontId="6" fillId="6" borderId="23" xfId="1" applyFont="1" applyFill="1" applyBorder="1" applyAlignment="1">
      <alignment horizontal="center" vertical="center" wrapText="1"/>
    </xf>
    <xf numFmtId="0" fontId="6" fillId="7" borderId="26" xfId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1" fontId="2" fillId="0" borderId="27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1" fillId="6" borderId="33" xfId="1" applyFont="1" applyFill="1" applyBorder="1" applyAlignment="1">
      <alignment horizontal="center" vertical="center"/>
    </xf>
    <xf numFmtId="0" fontId="11" fillId="6" borderId="12" xfId="1" applyFont="1" applyFill="1" applyBorder="1" applyAlignment="1">
      <alignment horizontal="center" vertical="center" wrapText="1"/>
    </xf>
    <xf numFmtId="0" fontId="12" fillId="6" borderId="34" xfId="0" applyFont="1" applyFill="1" applyBorder="1"/>
    <xf numFmtId="0" fontId="13" fillId="6" borderId="12" xfId="1" applyFont="1" applyFill="1" applyBorder="1" applyAlignment="1">
      <alignment horizontal="center" vertical="center" wrapText="1"/>
    </xf>
    <xf numFmtId="0" fontId="12" fillId="0" borderId="13" xfId="0" applyFont="1" applyBorder="1"/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35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6" borderId="27" xfId="0" applyFont="1" applyFill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12" fillId="6" borderId="15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2" fillId="0" borderId="27" xfId="0" applyFont="1" applyBorder="1" applyAlignment="1">
      <alignment horizontal="center" vertical="center" wrapText="1"/>
    </xf>
    <xf numFmtId="0" fontId="7" fillId="6" borderId="12" xfId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12" fillId="6" borderId="5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164" fontId="2" fillId="0" borderId="27" xfId="0" applyNumberFormat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0" fontId="8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2" fillId="6" borderId="3" xfId="0" applyFont="1" applyFill="1" applyBorder="1" applyAlignment="1">
      <alignment horizontal="center"/>
    </xf>
    <xf numFmtId="0" fontId="12" fillId="6" borderId="3" xfId="0" applyFont="1" applyFill="1" applyBorder="1"/>
    <xf numFmtId="0" fontId="2" fillId="0" borderId="15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12" fillId="6" borderId="10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6" borderId="30" xfId="0" applyFont="1" applyFill="1" applyBorder="1"/>
    <xf numFmtId="0" fontId="8" fillId="0" borderId="22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2" fillId="6" borderId="15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8" fillId="0" borderId="0" xfId="2" applyFont="1" applyFill="1" applyAlignment="1">
      <alignment vertical="center"/>
    </xf>
    <xf numFmtId="0" fontId="15" fillId="0" borderId="0" xfId="0" applyFont="1" applyAlignment="1">
      <alignment vertical="center" wrapText="1"/>
    </xf>
    <xf numFmtId="0" fontId="14" fillId="0" borderId="0" xfId="3"/>
    <xf numFmtId="0" fontId="20" fillId="6" borderId="29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1" fillId="2" borderId="3" xfId="0" applyNumberFormat="1" applyFont="1" applyFill="1" applyBorder="1" applyAlignment="1">
      <alignment horizontal="center" vertical="center"/>
    </xf>
    <xf numFmtId="165" fontId="21" fillId="2" borderId="3" xfId="0" applyNumberFormat="1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" fontId="21" fillId="6" borderId="3" xfId="0" applyNumberFormat="1" applyFont="1" applyFill="1" applyBorder="1" applyAlignment="1">
      <alignment horizontal="center" vertical="center"/>
    </xf>
    <xf numFmtId="165" fontId="21" fillId="6" borderId="3" xfId="0" applyNumberFormat="1" applyFont="1" applyFill="1" applyBorder="1" applyAlignment="1">
      <alignment horizontal="center" vertical="center"/>
    </xf>
    <xf numFmtId="0" fontId="2" fillId="6" borderId="3" xfId="0" quotePrefix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2" fontId="7" fillId="6" borderId="3" xfId="0" applyNumberFormat="1" applyFont="1" applyFill="1" applyBorder="1" applyAlignment="1">
      <alignment horizontal="center" vertical="center"/>
    </xf>
    <xf numFmtId="2" fontId="2" fillId="6" borderId="3" xfId="0" applyNumberFormat="1" applyFont="1" applyFill="1" applyBorder="1" applyAlignment="1">
      <alignment horizontal="center" vertical="center"/>
    </xf>
    <xf numFmtId="2" fontId="21" fillId="6" borderId="3" xfId="0" quotePrefix="1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0" fontId="2" fillId="4" borderId="43" xfId="0" applyFont="1" applyFill="1" applyBorder="1" applyAlignment="1">
      <alignment horizontal="left" vertical="center"/>
    </xf>
    <xf numFmtId="0" fontId="2" fillId="4" borderId="44" xfId="0" applyFont="1" applyFill="1" applyBorder="1" applyAlignment="1">
      <alignment horizontal="left" vertical="center"/>
    </xf>
    <xf numFmtId="0" fontId="2" fillId="4" borderId="45" xfId="0" applyFont="1" applyFill="1" applyBorder="1" applyAlignment="1">
      <alignment horizontal="left" vertical="center"/>
    </xf>
    <xf numFmtId="0" fontId="0" fillId="0" borderId="3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/>
    <xf numFmtId="0" fontId="0" fillId="0" borderId="18" xfId="0" applyBorder="1"/>
    <xf numFmtId="0" fontId="15" fillId="0" borderId="0" xfId="0" applyFont="1"/>
    <xf numFmtId="0" fontId="0" fillId="0" borderId="20" xfId="0" applyBorder="1"/>
    <xf numFmtId="0" fontId="23" fillId="0" borderId="20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20" xfId="0" applyFont="1" applyBorder="1"/>
    <xf numFmtId="0" fontId="0" fillId="0" borderId="34" xfId="0" applyBorder="1" applyAlignment="1">
      <alignment vertical="center"/>
    </xf>
    <xf numFmtId="0" fontId="25" fillId="0" borderId="0" xfId="0" applyFont="1"/>
    <xf numFmtId="0" fontId="17" fillId="0" borderId="0" xfId="2"/>
    <xf numFmtId="0" fontId="29" fillId="2" borderId="0" xfId="0" applyFont="1" applyFill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3" fillId="0" borderId="21" xfId="0" applyFont="1" applyBorder="1"/>
    <xf numFmtId="0" fontId="23" fillId="0" borderId="19" xfId="0" applyFont="1" applyBorder="1"/>
    <xf numFmtId="0" fontId="2" fillId="6" borderId="1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vertical="center" wrapText="1"/>
    </xf>
    <xf numFmtId="1" fontId="2" fillId="6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27" xfId="0" applyNumberFormat="1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" fontId="11" fillId="6" borderId="12" xfId="1" applyNumberFormat="1" applyFont="1" applyFill="1" applyBorder="1" applyAlignment="1">
      <alignment horizontal="center" vertical="center" wrapText="1"/>
    </xf>
    <xf numFmtId="1" fontId="12" fillId="6" borderId="1" xfId="0" applyNumberFormat="1" applyFont="1" applyFill="1" applyBorder="1"/>
    <xf numFmtId="1" fontId="12" fillId="6" borderId="1" xfId="0" applyNumberFormat="1" applyFont="1" applyFill="1" applyBorder="1" applyAlignment="1">
      <alignment horizontal="center"/>
    </xf>
    <xf numFmtId="1" fontId="2" fillId="0" borderId="27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27" xfId="0" applyNumberFormat="1" applyFont="1" applyBorder="1" applyAlignment="1">
      <alignment vertical="center" wrapText="1"/>
    </xf>
    <xf numFmtId="1" fontId="12" fillId="6" borderId="3" xfId="0" applyNumberFormat="1" applyFont="1" applyFill="1" applyBorder="1"/>
    <xf numFmtId="1" fontId="12" fillId="6" borderId="3" xfId="0" applyNumberFormat="1" applyFont="1" applyFill="1" applyBorder="1" applyAlignment="1">
      <alignment horizontal="center"/>
    </xf>
    <xf numFmtId="1" fontId="2" fillId="0" borderId="27" xfId="0" applyNumberFormat="1" applyFont="1" applyBorder="1" applyAlignment="1">
      <alignment vertical="center"/>
    </xf>
    <xf numFmtId="2" fontId="21" fillId="2" borderId="3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65" fontId="21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/>
    </xf>
    <xf numFmtId="1" fontId="2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1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9" fillId="6" borderId="12" xfId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vertical="center" wrapText="1"/>
    </xf>
    <xf numFmtId="0" fontId="10" fillId="0" borderId="26" xfId="0" applyFont="1" applyBorder="1" applyAlignment="1">
      <alignment horizontal="center" vertical="center" wrapText="1"/>
    </xf>
    <xf numFmtId="1" fontId="8" fillId="6" borderId="23" xfId="0" applyNumberFormat="1" applyFont="1" applyFill="1" applyBorder="1" applyAlignment="1">
      <alignment horizontal="center" vertical="center"/>
    </xf>
    <xf numFmtId="164" fontId="2" fillId="6" borderId="27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left" vertical="center"/>
    </xf>
    <xf numFmtId="0" fontId="2" fillId="0" borderId="5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0" fontId="2" fillId="0" borderId="13" xfId="0" applyNumberFormat="1" applyFont="1" applyBorder="1" applyAlignment="1">
      <alignment horizontal="center" vertical="center" wrapText="1"/>
    </xf>
    <xf numFmtId="10" fontId="2" fillId="0" borderId="15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36" xfId="0" applyBorder="1"/>
    <xf numFmtId="0" fontId="0" fillId="0" borderId="34" xfId="0" applyBorder="1"/>
    <xf numFmtId="0" fontId="2" fillId="6" borderId="17" xfId="0" applyFont="1" applyFill="1" applyBorder="1" applyAlignment="1">
      <alignment horizontal="center" vertical="center"/>
    </xf>
    <xf numFmtId="0" fontId="0" fillId="0" borderId="37" xfId="0" applyBorder="1"/>
    <xf numFmtId="0" fontId="3" fillId="0" borderId="11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8" xfId="0" applyBorder="1"/>
    <xf numFmtId="0" fontId="0" fillId="0" borderId="35" xfId="0" applyBorder="1"/>
    <xf numFmtId="0" fontId="0" fillId="0" borderId="41" xfId="0" applyBorder="1"/>
    <xf numFmtId="0" fontId="0" fillId="0" borderId="39" xfId="0" applyBorder="1"/>
    <xf numFmtId="0" fontId="0" fillId="0" borderId="36" xfId="0" applyBorder="1" applyAlignment="1">
      <alignment horizontal="center"/>
    </xf>
    <xf numFmtId="0" fontId="0" fillId="0" borderId="32" xfId="0" applyBorder="1"/>
    <xf numFmtId="0" fontId="3" fillId="6" borderId="14" xfId="0" applyFont="1" applyFill="1" applyBorder="1" applyAlignment="1">
      <alignment horizontal="center" vertical="center"/>
    </xf>
    <xf numFmtId="14" fontId="3" fillId="6" borderId="4" xfId="0" applyNumberFormat="1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57" xfId="0" applyFont="1" applyFill="1" applyBorder="1" applyAlignment="1">
      <alignment horizontal="center" vertical="center"/>
    </xf>
    <xf numFmtId="0" fontId="3" fillId="6" borderId="55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/>
    </xf>
    <xf numFmtId="0" fontId="35" fillId="6" borderId="12" xfId="0" applyFont="1" applyFill="1" applyBorder="1" applyAlignment="1">
      <alignment horizontal="center" vertical="center" wrapText="1"/>
    </xf>
    <xf numFmtId="0" fontId="35" fillId="6" borderId="13" xfId="0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6" borderId="55" xfId="0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2" fillId="6" borderId="15" xfId="0" quotePrefix="1" applyFont="1" applyFill="1" applyBorder="1" applyAlignment="1">
      <alignment horizontal="center" vertical="center"/>
    </xf>
    <xf numFmtId="0" fontId="35" fillId="6" borderId="47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/>
    </xf>
    <xf numFmtId="0" fontId="35" fillId="6" borderId="12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1" fontId="2" fillId="0" borderId="59" xfId="0" applyNumberFormat="1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10" fontId="2" fillId="0" borderId="60" xfId="0" applyNumberFormat="1" applyFont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/>
    </xf>
    <xf numFmtId="0" fontId="21" fillId="6" borderId="1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/>
    </xf>
    <xf numFmtId="164" fontId="21" fillId="6" borderId="15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6" borderId="42" xfId="0" applyFont="1" applyFill="1" applyBorder="1" applyAlignment="1">
      <alignment horizontal="center" vertical="center"/>
    </xf>
    <xf numFmtId="0" fontId="21" fillId="6" borderId="15" xfId="0" quotePrefix="1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0" borderId="54" xfId="0" applyBorder="1"/>
    <xf numFmtId="0" fontId="0" fillId="0" borderId="52" xfId="0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2" fillId="6" borderId="55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1" fontId="21" fillId="6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" fontId="2" fillId="6" borderId="27" xfId="0" applyNumberFormat="1" applyFont="1" applyFill="1" applyBorder="1" applyAlignment="1">
      <alignment horizontal="center" vertical="center" wrapText="1"/>
    </xf>
    <xf numFmtId="0" fontId="31" fillId="6" borderId="23" xfId="0" applyFont="1" applyFill="1" applyBorder="1" applyAlignment="1">
      <alignment horizontal="center" vertical="center"/>
    </xf>
    <xf numFmtId="164" fontId="0" fillId="0" borderId="0" xfId="0" applyNumberFormat="1"/>
    <xf numFmtId="0" fontId="21" fillId="0" borderId="15" xfId="0" applyFont="1" applyBorder="1" applyAlignment="1">
      <alignment horizontal="center" vertical="center" wrapText="1"/>
    </xf>
    <xf numFmtId="0" fontId="2" fillId="6" borderId="27" xfId="0" applyFont="1" applyFill="1" applyBorder="1" applyAlignment="1">
      <alignment vertical="center" wrapText="1"/>
    </xf>
    <xf numFmtId="0" fontId="21" fillId="2" borderId="3" xfId="0" quotePrefix="1" applyFont="1" applyFill="1" applyBorder="1" applyAlignment="1">
      <alignment horizontal="center" vertical="center"/>
    </xf>
    <xf numFmtId="0" fontId="21" fillId="2" borderId="1" xfId="0" quotePrefix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" fillId="6" borderId="20" xfId="0" applyFont="1" applyFill="1" applyBorder="1" applyAlignment="1">
      <alignment vertical="center"/>
    </xf>
    <xf numFmtId="0" fontId="2" fillId="6" borderId="21" xfId="0" applyFont="1" applyFill="1" applyBorder="1" applyAlignment="1">
      <alignment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3" fillId="6" borderId="33" xfId="0" applyFont="1" applyFill="1" applyBorder="1" applyAlignment="1">
      <alignment vertical="center"/>
    </xf>
    <xf numFmtId="0" fontId="33" fillId="0" borderId="0" xfId="0" applyFont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5" fillId="6" borderId="5" xfId="4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vertical="center"/>
    </xf>
    <xf numFmtId="0" fontId="0" fillId="0" borderId="0" xfId="0" applyAlignment="1">
      <alignment wrapText="1"/>
    </xf>
    <xf numFmtId="0" fontId="23" fillId="0" borderId="2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65" xfId="0" applyFont="1" applyBorder="1"/>
    <xf numFmtId="0" fontId="23" fillId="0" borderId="40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2" fontId="23" fillId="0" borderId="12" xfId="0" quotePrefix="1" applyNumberFormat="1" applyFont="1" applyBorder="1" applyAlignment="1">
      <alignment horizontal="center" vertical="center"/>
    </xf>
    <xf numFmtId="2" fontId="23" fillId="0" borderId="13" xfId="0" quotePrefix="1" applyNumberFormat="1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2" fontId="23" fillId="0" borderId="1" xfId="0" quotePrefix="1" applyNumberFormat="1" applyFont="1" applyBorder="1" applyAlignment="1">
      <alignment horizontal="center" vertical="center"/>
    </xf>
    <xf numFmtId="2" fontId="23" fillId="0" borderId="3" xfId="0" quotePrefix="1" applyNumberFormat="1" applyFont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center" vertical="center"/>
    </xf>
    <xf numFmtId="2" fontId="23" fillId="2" borderId="1" xfId="0" quotePrefix="1" applyNumberFormat="1" applyFont="1" applyFill="1" applyBorder="1" applyAlignment="1">
      <alignment horizontal="center" vertical="center"/>
    </xf>
    <xf numFmtId="2" fontId="23" fillId="0" borderId="15" xfId="0" quotePrefix="1" applyNumberFormat="1" applyFont="1" applyBorder="1" applyAlignment="1">
      <alignment horizontal="center" vertical="center"/>
    </xf>
    <xf numFmtId="16" fontId="23" fillId="0" borderId="1" xfId="0" quotePrefix="1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2" fontId="23" fillId="0" borderId="17" xfId="0" quotePrefix="1" applyNumberFormat="1" applyFont="1" applyBorder="1" applyAlignment="1">
      <alignment horizontal="center" vertical="center"/>
    </xf>
    <xf numFmtId="2" fontId="23" fillId="2" borderId="17" xfId="0" applyNumberFormat="1" applyFont="1" applyFill="1" applyBorder="1" applyAlignment="1">
      <alignment horizontal="center" vertical="center"/>
    </xf>
    <xf numFmtId="2" fontId="23" fillId="0" borderId="59" xfId="0" quotePrefix="1" applyNumberFormat="1" applyFont="1" applyBorder="1" applyAlignment="1">
      <alignment horizontal="center" vertical="center"/>
    </xf>
    <xf numFmtId="2" fontId="23" fillId="0" borderId="18" xfId="0" quotePrefix="1" applyNumberFormat="1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2" fontId="23" fillId="0" borderId="10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30" xfId="0" applyNumberFormat="1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 wrapText="1"/>
    </xf>
    <xf numFmtId="2" fontId="23" fillId="0" borderId="55" xfId="0" applyNumberFormat="1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1" fillId="0" borderId="1" xfId="4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2" fontId="23" fillId="4" borderId="1" xfId="0" quotePrefix="1" applyNumberFormat="1" applyFont="1" applyFill="1" applyBorder="1" applyAlignment="1">
      <alignment horizontal="center" vertical="center"/>
    </xf>
    <xf numFmtId="2" fontId="23" fillId="4" borderId="3" xfId="0" quotePrefix="1" applyNumberFormat="1" applyFont="1" applyFill="1" applyBorder="1" applyAlignment="1">
      <alignment horizontal="center" vertical="center"/>
    </xf>
    <xf numFmtId="0" fontId="23" fillId="0" borderId="27" xfId="0" quotePrefix="1" applyFont="1" applyBorder="1" applyAlignment="1">
      <alignment horizontal="center" vertical="center"/>
    </xf>
    <xf numFmtId="0" fontId="23" fillId="4" borderId="1" xfId="0" quotePrefix="1" applyFont="1" applyFill="1" applyBorder="1" applyAlignment="1">
      <alignment horizontal="center" vertical="center"/>
    </xf>
    <xf numFmtId="2" fontId="23" fillId="2" borderId="3" xfId="0" quotePrefix="1" applyNumberFormat="1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left" vertical="center"/>
    </xf>
    <xf numFmtId="0" fontId="23" fillId="0" borderId="41" xfId="0" applyFont="1" applyBorder="1"/>
    <xf numFmtId="0" fontId="37" fillId="0" borderId="0" xfId="0" applyFont="1" applyAlignment="1">
      <alignment horizontal="center" vertical="center"/>
    </xf>
    <xf numFmtId="0" fontId="23" fillId="0" borderId="0" xfId="0" applyFont="1"/>
    <xf numFmtId="0" fontId="3" fillId="6" borderId="5" xfId="0" applyFont="1" applyFill="1" applyBorder="1" applyAlignment="1">
      <alignment horizontal="left" vertical="center" wrapText="1"/>
    </xf>
    <xf numFmtId="0" fontId="35" fillId="6" borderId="5" xfId="4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5" xfId="0" applyFont="1" applyFill="1" applyBorder="1" applyAlignment="1">
      <alignment horizontal="left" vertical="center"/>
    </xf>
    <xf numFmtId="0" fontId="3" fillId="6" borderId="17" xfId="0" applyFont="1" applyFill="1" applyBorder="1" applyAlignment="1">
      <alignment horizontal="center" vertical="center" wrapText="1"/>
    </xf>
    <xf numFmtId="0" fontId="0" fillId="0" borderId="35" xfId="0" applyBorder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wrapText="1"/>
    </xf>
    <xf numFmtId="0" fontId="0" fillId="0" borderId="0" xfId="0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9" fontId="2" fillId="6" borderId="17" xfId="0" applyNumberFormat="1" applyFont="1" applyFill="1" applyBorder="1" applyAlignment="1">
      <alignment horizontal="center" vertical="center"/>
    </xf>
    <xf numFmtId="2" fontId="2" fillId="6" borderId="17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41" xfId="0" applyFont="1" applyBorder="1"/>
    <xf numFmtId="0" fontId="2" fillId="0" borderId="1" xfId="0" applyFont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vertical="center" wrapText="1"/>
    </xf>
    <xf numFmtId="164" fontId="3" fillId="6" borderId="27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68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0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43" fontId="3" fillId="0" borderId="1" xfId="5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39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2" fontId="9" fillId="0" borderId="1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0" fillId="0" borderId="35" xfId="0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3" fontId="3" fillId="0" borderId="0" xfId="5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6" borderId="59" xfId="0" applyFont="1" applyFill="1" applyBorder="1" applyAlignment="1">
      <alignment horizontal="center" vertical="center"/>
    </xf>
    <xf numFmtId="0" fontId="2" fillId="6" borderId="59" xfId="0" quotePrefix="1" applyFont="1" applyFill="1" applyBorder="1" applyAlignment="1">
      <alignment horizontal="center" vertical="center"/>
    </xf>
    <xf numFmtId="9" fontId="2" fillId="0" borderId="59" xfId="0" applyNumberFormat="1" applyFont="1" applyBorder="1" applyAlignment="1">
      <alignment horizontal="center" vertical="center"/>
    </xf>
    <xf numFmtId="2" fontId="2" fillId="6" borderId="59" xfId="0" applyNumberFormat="1" applyFont="1" applyFill="1" applyBorder="1" applyAlignment="1">
      <alignment horizontal="center" vertical="center"/>
    </xf>
    <xf numFmtId="2" fontId="3" fillId="0" borderId="1" xfId="5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3" fillId="0" borderId="0" xfId="5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2" fontId="3" fillId="0" borderId="36" xfId="5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2" fontId="3" fillId="6" borderId="1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 vertical="center"/>
    </xf>
    <xf numFmtId="2" fontId="9" fillId="0" borderId="36" xfId="0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6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2" fontId="2" fillId="0" borderId="1" xfId="5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68" xfId="0" applyFont="1" applyBorder="1" applyAlignment="1">
      <alignment horizontal="left" vertical="center"/>
    </xf>
    <xf numFmtId="164" fontId="2" fillId="0" borderId="6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0" fontId="2" fillId="6" borderId="17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  <xf numFmtId="10" fontId="2" fillId="0" borderId="17" xfId="0" applyNumberFormat="1" applyFont="1" applyBorder="1" applyAlignment="1">
      <alignment horizontal="center" vertical="center"/>
    </xf>
    <xf numFmtId="10" fontId="2" fillId="0" borderId="17" xfId="11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36" xfId="0" applyFont="1" applyBorder="1"/>
    <xf numFmtId="0" fontId="2" fillId="0" borderId="36" xfId="0" applyFont="1" applyBorder="1" applyAlignment="1">
      <alignment horizontal="left"/>
    </xf>
    <xf numFmtId="0" fontId="2" fillId="0" borderId="32" xfId="0" applyFont="1" applyBorder="1"/>
    <xf numFmtId="164" fontId="3" fillId="6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1" fillId="6" borderId="59" xfId="0" applyFont="1" applyFill="1" applyBorder="1" applyAlignment="1">
      <alignment horizontal="center" vertical="center"/>
    </xf>
    <xf numFmtId="9" fontId="2" fillId="6" borderId="59" xfId="0" applyNumberFormat="1" applyFont="1" applyFill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2" fontId="9" fillId="0" borderId="27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2" fontId="9" fillId="0" borderId="6" xfId="0" applyNumberFormat="1" applyFont="1" applyBorder="1" applyAlignment="1">
      <alignment horizontal="center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58" xfId="0" quotePrefix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23" fillId="0" borderId="31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2" fontId="23" fillId="0" borderId="27" xfId="0" applyNumberFormat="1" applyFont="1" applyBorder="1" applyAlignment="1">
      <alignment horizontal="center" vertical="center"/>
    </xf>
    <xf numFmtId="2" fontId="23" fillId="0" borderId="27" xfId="0" quotePrefix="1" applyNumberFormat="1" applyFont="1" applyBorder="1" applyAlignment="1">
      <alignment horizontal="center" vertical="center"/>
    </xf>
    <xf numFmtId="2" fontId="23" fillId="2" borderId="27" xfId="0" quotePrefix="1" applyNumberFormat="1" applyFont="1" applyFill="1" applyBorder="1" applyAlignment="1">
      <alignment horizontal="center" vertical="center"/>
    </xf>
    <xf numFmtId="10" fontId="2" fillId="0" borderId="17" xfId="11" quotePrefix="1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2" fontId="9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" fontId="7" fillId="0" borderId="1" xfId="0" quotePrefix="1" applyNumberFormat="1" applyFont="1" applyBorder="1" applyAlignment="1">
      <alignment horizontal="center" vertical="center"/>
    </xf>
    <xf numFmtId="2" fontId="9" fillId="0" borderId="1" xfId="0" quotePrefix="1" applyNumberFormat="1" applyFont="1" applyBorder="1" applyAlignment="1">
      <alignment horizontal="center" vertical="center"/>
    </xf>
    <xf numFmtId="0" fontId="2" fillId="6" borderId="6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/>
    </xf>
    <xf numFmtId="0" fontId="2" fillId="6" borderId="61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horizontal="center" vertical="center"/>
    </xf>
    <xf numFmtId="0" fontId="35" fillId="6" borderId="62" xfId="0" applyFont="1" applyFill="1" applyBorder="1" applyAlignment="1">
      <alignment horizontal="center" vertical="center"/>
    </xf>
    <xf numFmtId="0" fontId="35" fillId="6" borderId="56" xfId="0" applyFont="1" applyFill="1" applyBorder="1" applyAlignment="1">
      <alignment horizontal="center" vertical="center"/>
    </xf>
    <xf numFmtId="0" fontId="35" fillId="6" borderId="54" xfId="0" applyFont="1" applyFill="1" applyBorder="1" applyAlignment="1">
      <alignment horizontal="center" vertical="center"/>
    </xf>
    <xf numFmtId="0" fontId="2" fillId="6" borderId="4" xfId="0" quotePrefix="1" applyFont="1" applyFill="1" applyBorder="1" applyAlignment="1">
      <alignment horizontal="center" vertical="center" wrapText="1"/>
    </xf>
    <xf numFmtId="0" fontId="2" fillId="6" borderId="6" xfId="0" quotePrefix="1" applyFont="1" applyFill="1" applyBorder="1" applyAlignment="1">
      <alignment horizontal="center" vertical="center" wrapText="1"/>
    </xf>
    <xf numFmtId="0" fontId="2" fillId="6" borderId="52" xfId="0" quotePrefix="1" applyFont="1" applyFill="1" applyBorder="1" applyAlignment="1">
      <alignment horizontal="center" vertical="center" wrapText="1"/>
    </xf>
    <xf numFmtId="0" fontId="2" fillId="6" borderId="57" xfId="0" quotePrefix="1" applyFont="1" applyFill="1" applyBorder="1" applyAlignment="1">
      <alignment horizontal="center" vertical="center" wrapText="1"/>
    </xf>
    <xf numFmtId="0" fontId="2" fillId="6" borderId="61" xfId="0" quotePrefix="1" applyFont="1" applyFill="1" applyBorder="1" applyAlignment="1">
      <alignment horizontal="center" vertical="center" wrapText="1"/>
    </xf>
    <xf numFmtId="0" fontId="2" fillId="6" borderId="53" xfId="0" quotePrefix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35" fillId="6" borderId="47" xfId="0" applyFont="1" applyFill="1" applyBorder="1" applyAlignment="1">
      <alignment horizontal="center" vertical="center" wrapText="1"/>
    </xf>
    <xf numFmtId="0" fontId="35" fillId="6" borderId="56" xfId="0" applyFont="1" applyFill="1" applyBorder="1" applyAlignment="1">
      <alignment horizontal="center" vertical="center" wrapText="1"/>
    </xf>
    <xf numFmtId="0" fontId="35" fillId="6" borderId="5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52" xfId="0" applyNumberFormat="1" applyFont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27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 wrapText="1"/>
    </xf>
    <xf numFmtId="0" fontId="3" fillId="6" borderId="38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41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4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35" fillId="6" borderId="6" xfId="4" applyFont="1" applyFill="1" applyBorder="1" applyAlignment="1">
      <alignment horizontal="left" vertical="center"/>
    </xf>
    <xf numFmtId="0" fontId="21" fillId="0" borderId="4" xfId="4" applyFont="1" applyBorder="1" applyAlignment="1">
      <alignment horizontal="center" vertical="center" wrapText="1"/>
    </xf>
    <xf numFmtId="0" fontId="21" fillId="0" borderId="5" xfId="4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3" fillId="6" borderId="37" xfId="0" applyFont="1" applyFill="1" applyBorder="1" applyAlignment="1">
      <alignment horizontal="center" vertical="center" wrapText="1"/>
    </xf>
    <xf numFmtId="0" fontId="33" fillId="6" borderId="34" xfId="0" applyFont="1" applyFill="1" applyBorder="1" applyAlignment="1">
      <alignment horizontal="center" vertical="center" wrapText="1"/>
    </xf>
    <xf numFmtId="0" fontId="33" fillId="6" borderId="38" xfId="0" applyFont="1" applyFill="1" applyBorder="1" applyAlignment="1">
      <alignment horizontal="center" vertical="center" wrapText="1"/>
    </xf>
    <xf numFmtId="0" fontId="33" fillId="6" borderId="35" xfId="0" applyFont="1" applyFill="1" applyBorder="1" applyAlignment="1">
      <alignment horizontal="center" vertical="center" wrapText="1"/>
    </xf>
    <xf numFmtId="0" fontId="33" fillId="6" borderId="0" xfId="0" applyFont="1" applyFill="1" applyAlignment="1">
      <alignment horizontal="center" vertical="center" wrapText="1"/>
    </xf>
    <xf numFmtId="0" fontId="33" fillId="6" borderId="41" xfId="0" applyFont="1" applyFill="1" applyBorder="1" applyAlignment="1">
      <alignment horizontal="center" vertical="center" wrapText="1"/>
    </xf>
    <xf numFmtId="0" fontId="33" fillId="6" borderId="39" xfId="0" applyFont="1" applyFill="1" applyBorder="1" applyAlignment="1">
      <alignment horizontal="center" vertical="center" wrapText="1"/>
    </xf>
    <xf numFmtId="0" fontId="33" fillId="6" borderId="36" xfId="0" applyFont="1" applyFill="1" applyBorder="1" applyAlignment="1">
      <alignment horizontal="center" vertical="center" wrapText="1"/>
    </xf>
    <xf numFmtId="0" fontId="33" fillId="6" borderId="32" xfId="0" applyFont="1" applyFill="1" applyBorder="1" applyAlignment="1">
      <alignment horizontal="center" vertical="center" wrapText="1"/>
    </xf>
    <xf numFmtId="0" fontId="3" fillId="6" borderId="56" xfId="0" applyFont="1" applyFill="1" applyBorder="1" applyAlignment="1">
      <alignment horizontal="left" vertical="center"/>
    </xf>
    <xf numFmtId="0" fontId="2" fillId="6" borderId="47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8" fillId="6" borderId="41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48" xfId="0" applyFont="1" applyFill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6" fillId="7" borderId="24" xfId="1" applyFont="1" applyFill="1" applyBorder="1" applyAlignment="1">
      <alignment horizontal="center" vertical="center"/>
    </xf>
    <xf numFmtId="0" fontId="6" fillId="7" borderId="25" xfId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55" xfId="0" applyFont="1" applyFill="1" applyBorder="1" applyAlignment="1">
      <alignment horizontal="center" vertical="center"/>
    </xf>
    <xf numFmtId="0" fontId="3" fillId="8" borderId="49" xfId="0" applyFont="1" applyFill="1" applyBorder="1" applyAlignment="1">
      <alignment horizontal="center" vertical="center"/>
    </xf>
    <xf numFmtId="0" fontId="3" fillId="8" borderId="50" xfId="0" applyFont="1" applyFill="1" applyBorder="1" applyAlignment="1">
      <alignment horizontal="center" vertical="center"/>
    </xf>
    <xf numFmtId="0" fontId="3" fillId="8" borderId="51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31" fillId="3" borderId="19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7" fillId="6" borderId="27" xfId="1" applyFont="1" applyFill="1" applyBorder="1" applyAlignment="1">
      <alignment horizontal="center" vertical="center" wrapText="1"/>
    </xf>
    <xf numFmtId="0" fontId="7" fillId="6" borderId="3" xfId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5" fillId="0" borderId="0" xfId="0" applyFont="1" applyAlignment="1">
      <alignment horizontal="right" vertical="center"/>
    </xf>
    <xf numFmtId="0" fontId="24" fillId="0" borderId="37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28" fillId="7" borderId="36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0" fillId="0" borderId="0" xfId="0"/>
    <xf numFmtId="0" fontId="2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5" fillId="0" borderId="3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0" fillId="0" borderId="34" xfId="0" applyBorder="1" applyAlignment="1">
      <alignment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5" fillId="0" borderId="36" xfId="0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23" fillId="0" borderId="37" xfId="0" applyFont="1" applyBorder="1" applyAlignment="1">
      <alignment horizontal="center" wrapText="1"/>
    </xf>
    <xf numFmtId="0" fontId="23" fillId="0" borderId="34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41" xfId="0" applyFont="1" applyBorder="1" applyAlignment="1">
      <alignment horizontal="center"/>
    </xf>
    <xf numFmtId="0" fontId="23" fillId="0" borderId="39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0" borderId="34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0" fontId="0" fillId="0" borderId="36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2" fontId="2" fillId="6" borderId="17" xfId="0" quotePrefix="1" applyNumberFormat="1" applyFont="1" applyFill="1" applyBorder="1" applyAlignment="1">
      <alignment horizontal="center" vertical="center"/>
    </xf>
    <xf numFmtId="2" fontId="2" fillId="6" borderId="18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2" fontId="2" fillId="6" borderId="59" xfId="0" quotePrefix="1" applyNumberFormat="1" applyFont="1" applyFill="1" applyBorder="1" applyAlignment="1">
      <alignment horizontal="center" vertical="center"/>
    </xf>
    <xf numFmtId="2" fontId="2" fillId="6" borderId="60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68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8" fillId="6" borderId="37" xfId="0" applyFont="1" applyFill="1" applyBorder="1" applyAlignment="1">
      <alignment horizontal="center" vertical="center"/>
    </xf>
    <xf numFmtId="0" fontId="38" fillId="6" borderId="34" xfId="0" applyFont="1" applyFill="1" applyBorder="1" applyAlignment="1">
      <alignment horizontal="center" vertical="center"/>
    </xf>
    <xf numFmtId="0" fontId="38" fillId="6" borderId="38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6" borderId="67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38" fillId="6" borderId="19" xfId="0" applyFont="1" applyFill="1" applyBorder="1" applyAlignment="1">
      <alignment horizontal="center" vertical="center"/>
    </xf>
    <xf numFmtId="0" fontId="38" fillId="6" borderId="20" xfId="0" applyFont="1" applyFill="1" applyBorder="1" applyAlignment="1">
      <alignment horizontal="center" vertical="center"/>
    </xf>
    <xf numFmtId="0" fontId="38" fillId="6" borderId="21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164" fontId="2" fillId="6" borderId="17" xfId="0" quotePrefix="1" applyNumberFormat="1" applyFont="1" applyFill="1" applyBorder="1" applyAlignment="1">
      <alignment horizontal="center" vertical="center"/>
    </xf>
    <xf numFmtId="164" fontId="2" fillId="6" borderId="18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2" fontId="2" fillId="6" borderId="57" xfId="0" quotePrefix="1" applyNumberFormat="1" applyFont="1" applyFill="1" applyBorder="1" applyAlignment="1">
      <alignment horizontal="center" vertical="center"/>
    </xf>
    <xf numFmtId="2" fontId="2" fillId="6" borderId="53" xfId="0" quotePrefix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64" fontId="2" fillId="6" borderId="57" xfId="0" quotePrefix="1" applyNumberFormat="1" applyFont="1" applyFill="1" applyBorder="1" applyAlignment="1">
      <alignment horizontal="center" vertical="center"/>
    </xf>
    <xf numFmtId="164" fontId="2" fillId="6" borderId="53" xfId="0" quotePrefix="1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14" fontId="3" fillId="6" borderId="4" xfId="0" applyNumberFormat="1" applyFont="1" applyFill="1" applyBorder="1" applyAlignment="1">
      <alignment horizontal="center" vertical="center"/>
    </xf>
    <xf numFmtId="14" fontId="3" fillId="6" borderId="6" xfId="0" applyNumberFormat="1" applyFont="1" applyFill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27" xfId="0" quotePrefix="1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vertical="center"/>
    </xf>
    <xf numFmtId="0" fontId="3" fillId="6" borderId="57" xfId="0" applyFont="1" applyFill="1" applyBorder="1" applyAlignment="1">
      <alignment horizontal="center" vertical="center"/>
    </xf>
    <xf numFmtId="0" fontId="3" fillId="6" borderId="61" xfId="0" applyFont="1" applyFill="1" applyBorder="1" applyAlignment="1">
      <alignment horizontal="center" vertical="center"/>
    </xf>
    <xf numFmtId="0" fontId="3" fillId="6" borderId="57" xfId="0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3" fillId="0" borderId="23" xfId="0" applyFont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33" fillId="6" borderId="37" xfId="0" applyFont="1" applyFill="1" applyBorder="1" applyAlignment="1">
      <alignment horizontal="center" vertical="center"/>
    </xf>
    <xf numFmtId="0" fontId="33" fillId="6" borderId="34" xfId="0" applyFont="1" applyFill="1" applyBorder="1" applyAlignment="1">
      <alignment horizontal="center" vertical="center"/>
    </xf>
    <xf numFmtId="0" fontId="33" fillId="6" borderId="38" xfId="0" applyFont="1" applyFill="1" applyBorder="1" applyAlignment="1">
      <alignment horizontal="center" vertical="center"/>
    </xf>
    <xf numFmtId="0" fontId="33" fillId="6" borderId="35" xfId="0" applyFont="1" applyFill="1" applyBorder="1" applyAlignment="1">
      <alignment horizontal="center" vertical="center"/>
    </xf>
    <xf numFmtId="0" fontId="33" fillId="6" borderId="0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/>
    </xf>
    <xf numFmtId="0" fontId="33" fillId="6" borderId="36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</cellXfs>
  <cellStyles count="12">
    <cellStyle name="Comma 2" xfId="5" xr:uid="{00000000-0005-0000-0000-000000000000}"/>
    <cellStyle name="Comma 2 2" xfId="6" xr:uid="{00000000-0005-0000-0000-000001000000}"/>
    <cellStyle name="Comma 2 2 2" xfId="8" xr:uid="{00000000-0005-0000-0000-000002000000}"/>
    <cellStyle name="Comma 2 3" xfId="9" xr:uid="{00000000-0005-0000-0000-000003000000}"/>
    <cellStyle name="Comma 2 4" xfId="7" xr:uid="{00000000-0005-0000-0000-000004000000}"/>
    <cellStyle name="Comma 3" xfId="10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3" xr:uid="{00000000-0005-0000-0000-000009000000}"/>
    <cellStyle name="Normal 2 3" xfId="4" xr:uid="{00000000-0005-0000-0000-00000A000000}"/>
    <cellStyle name="Percent" xfId="11" builtinId="5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7</xdr:row>
      <xdr:rowOff>114300</xdr:rowOff>
    </xdr:from>
    <xdr:to>
      <xdr:col>5</xdr:col>
      <xdr:colOff>606416</xdr:colOff>
      <xdr:row>7</xdr:row>
      <xdr:rowOff>114301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3054350" y="14859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8</xdr:row>
      <xdr:rowOff>114300</xdr:rowOff>
    </xdr:from>
    <xdr:to>
      <xdr:col>5</xdr:col>
      <xdr:colOff>606416</xdr:colOff>
      <xdr:row>8</xdr:row>
      <xdr:rowOff>114301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3054350" y="16827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9</xdr:row>
      <xdr:rowOff>114300</xdr:rowOff>
    </xdr:from>
    <xdr:to>
      <xdr:col>5</xdr:col>
      <xdr:colOff>606416</xdr:colOff>
      <xdr:row>9</xdr:row>
      <xdr:rowOff>114301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3054350" y="18796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341022</xdr:colOff>
      <xdr:row>13</xdr:row>
      <xdr:rowOff>4769</xdr:rowOff>
    </xdr:from>
    <xdr:to>
      <xdr:col>8</xdr:col>
      <xdr:colOff>342900</xdr:colOff>
      <xdr:row>17</xdr:row>
      <xdr:rowOff>219075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5713122" y="2728919"/>
          <a:ext cx="1878" cy="1033456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19</xdr:row>
      <xdr:rowOff>114300</xdr:rowOff>
    </xdr:from>
    <xdr:to>
      <xdr:col>5</xdr:col>
      <xdr:colOff>606416</xdr:colOff>
      <xdr:row>19</xdr:row>
      <xdr:rowOff>114301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3054350" y="38227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20</xdr:row>
      <xdr:rowOff>114300</xdr:rowOff>
    </xdr:from>
    <xdr:to>
      <xdr:col>5</xdr:col>
      <xdr:colOff>606416</xdr:colOff>
      <xdr:row>20</xdr:row>
      <xdr:rowOff>114301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3054350" y="40195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21</xdr:row>
      <xdr:rowOff>114300</xdr:rowOff>
    </xdr:from>
    <xdr:to>
      <xdr:col>5</xdr:col>
      <xdr:colOff>606416</xdr:colOff>
      <xdr:row>21</xdr:row>
      <xdr:rowOff>114301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3054350" y="42164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22</xdr:row>
      <xdr:rowOff>114300</xdr:rowOff>
    </xdr:from>
    <xdr:to>
      <xdr:col>5</xdr:col>
      <xdr:colOff>606416</xdr:colOff>
      <xdr:row>22</xdr:row>
      <xdr:rowOff>114301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3054350" y="44132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23</xdr:row>
      <xdr:rowOff>114300</xdr:rowOff>
    </xdr:from>
    <xdr:to>
      <xdr:col>5</xdr:col>
      <xdr:colOff>606416</xdr:colOff>
      <xdr:row>23</xdr:row>
      <xdr:rowOff>114301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3054350" y="46101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24</xdr:row>
      <xdr:rowOff>114300</xdr:rowOff>
    </xdr:from>
    <xdr:to>
      <xdr:col>5</xdr:col>
      <xdr:colOff>606416</xdr:colOff>
      <xdr:row>24</xdr:row>
      <xdr:rowOff>114301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3054350" y="50038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25</xdr:row>
      <xdr:rowOff>114300</xdr:rowOff>
    </xdr:from>
    <xdr:to>
      <xdr:col>5</xdr:col>
      <xdr:colOff>606416</xdr:colOff>
      <xdr:row>25</xdr:row>
      <xdr:rowOff>114301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3054350" y="52006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20</xdr:row>
      <xdr:rowOff>96982</xdr:rowOff>
    </xdr:from>
    <xdr:to>
      <xdr:col>12</xdr:col>
      <xdr:colOff>279</xdr:colOff>
      <xdr:row>20</xdr:row>
      <xdr:rowOff>96983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7193395" y="4287982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603827</xdr:colOff>
      <xdr:row>21</xdr:row>
      <xdr:rowOff>114300</xdr:rowOff>
    </xdr:from>
    <xdr:to>
      <xdr:col>11</xdr:col>
      <xdr:colOff>597757</xdr:colOff>
      <xdr:row>21</xdr:row>
      <xdr:rowOff>114301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7184736" y="44958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26</xdr:row>
      <xdr:rowOff>114300</xdr:rowOff>
    </xdr:from>
    <xdr:to>
      <xdr:col>5</xdr:col>
      <xdr:colOff>606416</xdr:colOff>
      <xdr:row>26</xdr:row>
      <xdr:rowOff>114301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3054350" y="53975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27</xdr:row>
      <xdr:rowOff>114300</xdr:rowOff>
    </xdr:from>
    <xdr:to>
      <xdr:col>5</xdr:col>
      <xdr:colOff>606416</xdr:colOff>
      <xdr:row>27</xdr:row>
      <xdr:rowOff>114301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3054350" y="55943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28</xdr:row>
      <xdr:rowOff>114300</xdr:rowOff>
    </xdr:from>
    <xdr:to>
      <xdr:col>5</xdr:col>
      <xdr:colOff>606416</xdr:colOff>
      <xdr:row>28</xdr:row>
      <xdr:rowOff>114301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3054350" y="57975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29</xdr:row>
      <xdr:rowOff>114300</xdr:rowOff>
    </xdr:from>
    <xdr:to>
      <xdr:col>5</xdr:col>
      <xdr:colOff>606416</xdr:colOff>
      <xdr:row>29</xdr:row>
      <xdr:rowOff>114301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3054350" y="59944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30</xdr:row>
      <xdr:rowOff>114300</xdr:rowOff>
    </xdr:from>
    <xdr:to>
      <xdr:col>5</xdr:col>
      <xdr:colOff>606416</xdr:colOff>
      <xdr:row>30</xdr:row>
      <xdr:rowOff>114301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3054350" y="61912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31</xdr:row>
      <xdr:rowOff>114300</xdr:rowOff>
    </xdr:from>
    <xdr:to>
      <xdr:col>5</xdr:col>
      <xdr:colOff>606416</xdr:colOff>
      <xdr:row>31</xdr:row>
      <xdr:rowOff>114301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3054350" y="63944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32</xdr:row>
      <xdr:rowOff>114300</xdr:rowOff>
    </xdr:from>
    <xdr:to>
      <xdr:col>5</xdr:col>
      <xdr:colOff>606416</xdr:colOff>
      <xdr:row>32</xdr:row>
      <xdr:rowOff>114301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3054350" y="65913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33</xdr:row>
      <xdr:rowOff>114300</xdr:rowOff>
    </xdr:from>
    <xdr:to>
      <xdr:col>5</xdr:col>
      <xdr:colOff>606416</xdr:colOff>
      <xdr:row>33</xdr:row>
      <xdr:rowOff>114301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>
          <a:off x="3054350" y="67881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34</xdr:row>
      <xdr:rowOff>114300</xdr:rowOff>
    </xdr:from>
    <xdr:to>
      <xdr:col>5</xdr:col>
      <xdr:colOff>606416</xdr:colOff>
      <xdr:row>34</xdr:row>
      <xdr:rowOff>114301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3054350" y="69850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35</xdr:row>
      <xdr:rowOff>114300</xdr:rowOff>
    </xdr:from>
    <xdr:to>
      <xdr:col>5</xdr:col>
      <xdr:colOff>606416</xdr:colOff>
      <xdr:row>35</xdr:row>
      <xdr:rowOff>114301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>
          <a:off x="3054350" y="71818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29</xdr:row>
      <xdr:rowOff>114300</xdr:rowOff>
    </xdr:from>
    <xdr:to>
      <xdr:col>11</xdr:col>
      <xdr:colOff>606416</xdr:colOff>
      <xdr:row>29</xdr:row>
      <xdr:rowOff>114301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>
          <a:off x="6711950" y="59944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36</xdr:row>
      <xdr:rowOff>114300</xdr:rowOff>
    </xdr:from>
    <xdr:to>
      <xdr:col>5</xdr:col>
      <xdr:colOff>606416</xdr:colOff>
      <xdr:row>36</xdr:row>
      <xdr:rowOff>114301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3054350" y="73787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37</xdr:row>
      <xdr:rowOff>114300</xdr:rowOff>
    </xdr:from>
    <xdr:to>
      <xdr:col>5</xdr:col>
      <xdr:colOff>606416</xdr:colOff>
      <xdr:row>37</xdr:row>
      <xdr:rowOff>114301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>
          <a:off x="3054350" y="75819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38</xdr:row>
      <xdr:rowOff>114300</xdr:rowOff>
    </xdr:from>
    <xdr:to>
      <xdr:col>5</xdr:col>
      <xdr:colOff>606416</xdr:colOff>
      <xdr:row>38</xdr:row>
      <xdr:rowOff>114301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>
          <a:off x="3054350" y="77787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39</xdr:row>
      <xdr:rowOff>114300</xdr:rowOff>
    </xdr:from>
    <xdr:to>
      <xdr:col>11</xdr:col>
      <xdr:colOff>606416</xdr:colOff>
      <xdr:row>39</xdr:row>
      <xdr:rowOff>114301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6711950" y="79756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38</xdr:row>
      <xdr:rowOff>114300</xdr:rowOff>
    </xdr:from>
    <xdr:to>
      <xdr:col>11</xdr:col>
      <xdr:colOff>606416</xdr:colOff>
      <xdr:row>38</xdr:row>
      <xdr:rowOff>114301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6711950" y="77787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37</xdr:row>
      <xdr:rowOff>114300</xdr:rowOff>
    </xdr:from>
    <xdr:to>
      <xdr:col>11</xdr:col>
      <xdr:colOff>606416</xdr:colOff>
      <xdr:row>37</xdr:row>
      <xdr:rowOff>114301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>
          <a:off x="6711950" y="75819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36</xdr:row>
      <xdr:rowOff>114300</xdr:rowOff>
    </xdr:from>
    <xdr:to>
      <xdr:col>11</xdr:col>
      <xdr:colOff>606416</xdr:colOff>
      <xdr:row>36</xdr:row>
      <xdr:rowOff>114301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6711950" y="73787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35</xdr:row>
      <xdr:rowOff>114300</xdr:rowOff>
    </xdr:from>
    <xdr:to>
      <xdr:col>11</xdr:col>
      <xdr:colOff>606416</xdr:colOff>
      <xdr:row>35</xdr:row>
      <xdr:rowOff>114301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>
          <a:off x="6711950" y="71818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34</xdr:row>
      <xdr:rowOff>114300</xdr:rowOff>
    </xdr:from>
    <xdr:to>
      <xdr:col>11</xdr:col>
      <xdr:colOff>606416</xdr:colOff>
      <xdr:row>34</xdr:row>
      <xdr:rowOff>114301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>
          <a:off x="6711950" y="69850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33</xdr:row>
      <xdr:rowOff>114300</xdr:rowOff>
    </xdr:from>
    <xdr:to>
      <xdr:col>11</xdr:col>
      <xdr:colOff>606416</xdr:colOff>
      <xdr:row>33</xdr:row>
      <xdr:rowOff>114301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/>
      </xdr:nvCxnSpPr>
      <xdr:spPr>
        <a:xfrm>
          <a:off x="6711950" y="67881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32</xdr:row>
      <xdr:rowOff>114300</xdr:rowOff>
    </xdr:from>
    <xdr:to>
      <xdr:col>11</xdr:col>
      <xdr:colOff>606416</xdr:colOff>
      <xdr:row>32</xdr:row>
      <xdr:rowOff>114301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6711950" y="65913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31</xdr:row>
      <xdr:rowOff>114300</xdr:rowOff>
    </xdr:from>
    <xdr:to>
      <xdr:col>11</xdr:col>
      <xdr:colOff>606416</xdr:colOff>
      <xdr:row>31</xdr:row>
      <xdr:rowOff>114301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>
          <a:off x="6711950" y="63944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30</xdr:row>
      <xdr:rowOff>114300</xdr:rowOff>
    </xdr:from>
    <xdr:to>
      <xdr:col>11</xdr:col>
      <xdr:colOff>606416</xdr:colOff>
      <xdr:row>30</xdr:row>
      <xdr:rowOff>114301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>
          <a:off x="6711950" y="61912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39</xdr:row>
      <xdr:rowOff>114300</xdr:rowOff>
    </xdr:from>
    <xdr:to>
      <xdr:col>5</xdr:col>
      <xdr:colOff>606416</xdr:colOff>
      <xdr:row>39</xdr:row>
      <xdr:rowOff>114301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>
          <a:off x="3054350" y="79756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54</xdr:row>
      <xdr:rowOff>114300</xdr:rowOff>
    </xdr:from>
    <xdr:to>
      <xdr:col>5</xdr:col>
      <xdr:colOff>606416</xdr:colOff>
      <xdr:row>54</xdr:row>
      <xdr:rowOff>114301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3054350" y="102870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56</xdr:row>
      <xdr:rowOff>114300</xdr:rowOff>
    </xdr:from>
    <xdr:to>
      <xdr:col>5</xdr:col>
      <xdr:colOff>606416</xdr:colOff>
      <xdr:row>56</xdr:row>
      <xdr:rowOff>114301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>
          <a:off x="3054350" y="106807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66</xdr:row>
      <xdr:rowOff>114300</xdr:rowOff>
    </xdr:from>
    <xdr:to>
      <xdr:col>12</xdr:col>
      <xdr:colOff>279</xdr:colOff>
      <xdr:row>66</xdr:row>
      <xdr:rowOff>114301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>
          <a:off x="7193395" y="13371368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79</xdr:row>
      <xdr:rowOff>114300</xdr:rowOff>
    </xdr:from>
    <xdr:to>
      <xdr:col>11</xdr:col>
      <xdr:colOff>606416</xdr:colOff>
      <xdr:row>79</xdr:row>
      <xdr:rowOff>114301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/>
      </xdr:nvCxnSpPr>
      <xdr:spPr>
        <a:xfrm>
          <a:off x="6711950" y="159321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83</xdr:row>
      <xdr:rowOff>114300</xdr:rowOff>
    </xdr:from>
    <xdr:to>
      <xdr:col>11</xdr:col>
      <xdr:colOff>606416</xdr:colOff>
      <xdr:row>83</xdr:row>
      <xdr:rowOff>114301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/>
      </xdr:nvCxnSpPr>
      <xdr:spPr>
        <a:xfrm>
          <a:off x="6711950" y="167195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93</xdr:row>
      <xdr:rowOff>114300</xdr:rowOff>
    </xdr:from>
    <xdr:to>
      <xdr:col>5</xdr:col>
      <xdr:colOff>606416</xdr:colOff>
      <xdr:row>93</xdr:row>
      <xdr:rowOff>114301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6711950" y="163258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96</xdr:row>
      <xdr:rowOff>114300</xdr:rowOff>
    </xdr:from>
    <xdr:to>
      <xdr:col>5</xdr:col>
      <xdr:colOff>606416</xdr:colOff>
      <xdr:row>96</xdr:row>
      <xdr:rowOff>114301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6711950" y="163258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96</xdr:row>
      <xdr:rowOff>114300</xdr:rowOff>
    </xdr:from>
    <xdr:to>
      <xdr:col>11</xdr:col>
      <xdr:colOff>606416</xdr:colOff>
      <xdr:row>96</xdr:row>
      <xdr:rowOff>114301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6711950" y="192532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106</xdr:row>
      <xdr:rowOff>114300</xdr:rowOff>
    </xdr:from>
    <xdr:to>
      <xdr:col>5</xdr:col>
      <xdr:colOff>606416</xdr:colOff>
      <xdr:row>106</xdr:row>
      <xdr:rowOff>114301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>
          <a:off x="3054350" y="196596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106</xdr:row>
      <xdr:rowOff>114300</xdr:rowOff>
    </xdr:from>
    <xdr:to>
      <xdr:col>11</xdr:col>
      <xdr:colOff>606416</xdr:colOff>
      <xdr:row>106</xdr:row>
      <xdr:rowOff>114301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>
          <a:off x="3054350" y="196596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110</xdr:row>
      <xdr:rowOff>114300</xdr:rowOff>
    </xdr:from>
    <xdr:to>
      <xdr:col>11</xdr:col>
      <xdr:colOff>606416</xdr:colOff>
      <xdr:row>110</xdr:row>
      <xdr:rowOff>114301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>
          <a:off x="3054350" y="196596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121</xdr:row>
      <xdr:rowOff>114300</xdr:rowOff>
    </xdr:from>
    <xdr:to>
      <xdr:col>5</xdr:col>
      <xdr:colOff>606416</xdr:colOff>
      <xdr:row>121</xdr:row>
      <xdr:rowOff>114301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CxnSpPr/>
      </xdr:nvCxnSpPr>
      <xdr:spPr>
        <a:xfrm>
          <a:off x="3054350" y="225615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121</xdr:row>
      <xdr:rowOff>114300</xdr:rowOff>
    </xdr:from>
    <xdr:to>
      <xdr:col>11</xdr:col>
      <xdr:colOff>606416</xdr:colOff>
      <xdr:row>121</xdr:row>
      <xdr:rowOff>114301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/>
      </xdr:nvCxnSpPr>
      <xdr:spPr>
        <a:xfrm>
          <a:off x="3054350" y="225615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125</xdr:row>
      <xdr:rowOff>114300</xdr:rowOff>
    </xdr:from>
    <xdr:to>
      <xdr:col>11</xdr:col>
      <xdr:colOff>606416</xdr:colOff>
      <xdr:row>125</xdr:row>
      <xdr:rowOff>114301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CxnSpPr/>
      </xdr:nvCxnSpPr>
      <xdr:spPr>
        <a:xfrm>
          <a:off x="3054350" y="225615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265340</xdr:colOff>
      <xdr:row>44</xdr:row>
      <xdr:rowOff>114300</xdr:rowOff>
    </xdr:from>
    <xdr:to>
      <xdr:col>12</xdr:col>
      <xdr:colOff>930</xdr:colOff>
      <xdr:row>44</xdr:row>
      <xdr:rowOff>119577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>
          <a:off x="5637440" y="8934450"/>
          <a:ext cx="2173990" cy="5277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267678</xdr:colOff>
      <xdr:row>41</xdr:row>
      <xdr:rowOff>193593</xdr:rowOff>
    </xdr:from>
    <xdr:to>
      <xdr:col>8</xdr:col>
      <xdr:colOff>267678</xdr:colOff>
      <xdr:row>44</xdr:row>
      <xdr:rowOff>92970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CxnSpPr/>
      </xdr:nvCxnSpPr>
      <xdr:spPr>
        <a:xfrm>
          <a:off x="5754078" y="8431660"/>
          <a:ext cx="0" cy="492043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40</xdr:row>
      <xdr:rowOff>114300</xdr:rowOff>
    </xdr:from>
    <xdr:to>
      <xdr:col>5</xdr:col>
      <xdr:colOff>606416</xdr:colOff>
      <xdr:row>40</xdr:row>
      <xdr:rowOff>114301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3549650" y="771525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303069</xdr:colOff>
      <xdr:row>59</xdr:row>
      <xdr:rowOff>0</xdr:rowOff>
    </xdr:from>
    <xdr:to>
      <xdr:col>8</xdr:col>
      <xdr:colOff>311727</xdr:colOff>
      <xdr:row>64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/>
      </xdr:nvCxnSpPr>
      <xdr:spPr>
        <a:xfrm flipH="1">
          <a:off x="5671705" y="11862955"/>
          <a:ext cx="8658" cy="1013113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69</xdr:row>
      <xdr:rowOff>114300</xdr:rowOff>
    </xdr:from>
    <xdr:to>
      <xdr:col>12</xdr:col>
      <xdr:colOff>279</xdr:colOff>
      <xdr:row>69</xdr:row>
      <xdr:rowOff>114301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>
          <a:off x="7193395" y="13371368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81</xdr:row>
      <xdr:rowOff>114300</xdr:rowOff>
    </xdr:from>
    <xdr:to>
      <xdr:col>5</xdr:col>
      <xdr:colOff>606416</xdr:colOff>
      <xdr:row>81</xdr:row>
      <xdr:rowOff>114301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/>
      </xdr:nvCxnSpPr>
      <xdr:spPr>
        <a:xfrm>
          <a:off x="3556577" y="16376073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80</xdr:row>
      <xdr:rowOff>114300</xdr:rowOff>
    </xdr:from>
    <xdr:to>
      <xdr:col>11</xdr:col>
      <xdr:colOff>606416</xdr:colOff>
      <xdr:row>80</xdr:row>
      <xdr:rowOff>114301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CxnSpPr/>
      </xdr:nvCxnSpPr>
      <xdr:spPr>
        <a:xfrm>
          <a:off x="7193395" y="15986414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110</xdr:row>
      <xdr:rowOff>114300</xdr:rowOff>
    </xdr:from>
    <xdr:to>
      <xdr:col>5</xdr:col>
      <xdr:colOff>606416</xdr:colOff>
      <xdr:row>110</xdr:row>
      <xdr:rowOff>114301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/>
      </xdr:nvCxnSpPr>
      <xdr:spPr>
        <a:xfrm>
          <a:off x="3556577" y="22021800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122</xdr:row>
      <xdr:rowOff>114300</xdr:rowOff>
    </xdr:from>
    <xdr:to>
      <xdr:col>5</xdr:col>
      <xdr:colOff>606416</xdr:colOff>
      <xdr:row>122</xdr:row>
      <xdr:rowOff>114301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/>
      </xdr:nvCxnSpPr>
      <xdr:spPr>
        <a:xfrm>
          <a:off x="3556577" y="24420368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126</xdr:row>
      <xdr:rowOff>114300</xdr:rowOff>
    </xdr:from>
    <xdr:to>
      <xdr:col>11</xdr:col>
      <xdr:colOff>606416</xdr:colOff>
      <xdr:row>126</xdr:row>
      <xdr:rowOff>114301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7193395" y="25217005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322423</xdr:colOff>
      <xdr:row>111</xdr:row>
      <xdr:rowOff>190500</xdr:rowOff>
    </xdr:from>
    <xdr:to>
      <xdr:col>8</xdr:col>
      <xdr:colOff>329046</xdr:colOff>
      <xdr:row>119</xdr:row>
      <xdr:rowOff>181841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>
          <a:off x="5691059" y="22496318"/>
          <a:ext cx="6623" cy="1601932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601133</xdr:colOff>
      <xdr:row>28</xdr:row>
      <xdr:rowOff>127000</xdr:rowOff>
    </xdr:from>
    <xdr:to>
      <xdr:col>11</xdr:col>
      <xdr:colOff>591599</xdr:colOff>
      <xdr:row>28</xdr:row>
      <xdr:rowOff>127001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/>
      </xdr:nvCxnSpPr>
      <xdr:spPr>
        <a:xfrm>
          <a:off x="7306733" y="5825067"/>
          <a:ext cx="600066" cy="1"/>
        </a:xfrm>
        <a:prstGeom prst="straightConnector1">
          <a:avLst/>
        </a:prstGeom>
        <a:ln w="317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1hPa@817&#176;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28"/>
  <sheetViews>
    <sheetView showGridLines="0" tabSelected="1" view="pageBreakPreview" zoomScale="80" zoomScaleNormal="40" zoomScaleSheetLayoutView="40" workbookViewId="0">
      <pane ySplit="8" topLeftCell="A18" activePane="bottomLeft" state="frozen"/>
      <selection activeCell="Y19" sqref="Y19"/>
      <selection pane="bottomLeft" activeCell="A8" sqref="A8:XFD8"/>
    </sheetView>
  </sheetViews>
  <sheetFormatPr defaultRowHeight="14.4" x14ac:dyDescent="0.3"/>
  <cols>
    <col min="1" max="1" width="3.77734375" customWidth="1"/>
    <col min="2" max="2" width="12.77734375" customWidth="1"/>
    <col min="3" max="3" width="85" customWidth="1"/>
    <col min="4" max="6" width="12.77734375" style="1" customWidth="1"/>
    <col min="7" max="7" width="3.21875" style="38" customWidth="1"/>
    <col min="8" max="8" width="10.5546875" style="1" bestFit="1" customWidth="1"/>
    <col min="9" max="10" width="12.77734375" customWidth="1"/>
    <col min="11" max="11" width="3.21875" style="37" customWidth="1"/>
    <col min="12" max="12" width="10.21875" style="1" customWidth="1"/>
    <col min="13" max="13" width="13.21875" customWidth="1"/>
    <col min="14" max="14" width="15.21875" style="1" bestFit="1" customWidth="1"/>
    <col min="15" max="15" width="13.77734375" style="1" bestFit="1" customWidth="1"/>
    <col min="16" max="16" width="11.77734375" style="1" customWidth="1"/>
    <col min="17" max="17" width="10.77734375" style="1" customWidth="1"/>
    <col min="18" max="18" width="12.77734375" customWidth="1"/>
    <col min="19" max="19" width="12.77734375" style="1" customWidth="1"/>
    <col min="20" max="20" width="12.77734375" customWidth="1"/>
    <col min="21" max="21" width="18.77734375" style="1" customWidth="1"/>
    <col min="22" max="22" width="21.21875" customWidth="1"/>
    <col min="23" max="23" width="14.77734375" customWidth="1"/>
    <col min="24" max="24" width="24.21875" customWidth="1"/>
    <col min="25" max="25" width="25" customWidth="1"/>
    <col min="26" max="26" width="22.5546875" customWidth="1"/>
    <col min="27" max="27" width="20.21875" customWidth="1"/>
    <col min="28" max="28" width="18.77734375" customWidth="1"/>
    <col min="29" max="29" width="22.21875" customWidth="1"/>
    <col min="30" max="30" width="16.77734375" customWidth="1"/>
    <col min="31" max="31" width="16.5546875" customWidth="1"/>
    <col min="32" max="32" width="17.77734375" customWidth="1"/>
    <col min="33" max="33" width="13.77734375" customWidth="1"/>
    <col min="34" max="34" width="10.44140625" customWidth="1"/>
  </cols>
  <sheetData>
    <row r="1" spans="2:29" s="13" customFormat="1" ht="15" customHeight="1" thickBot="1" x14ac:dyDescent="0.35">
      <c r="B1"/>
      <c r="C1"/>
      <c r="D1" s="14"/>
      <c r="L1" s="14"/>
      <c r="P1" s="14"/>
      <c r="Q1" s="14"/>
      <c r="S1" s="14"/>
      <c r="U1" s="14"/>
    </row>
    <row r="2" spans="2:29" s="13" customFormat="1" ht="38.25" customHeight="1" x14ac:dyDescent="0.3">
      <c r="B2" s="530"/>
      <c r="C2" s="531"/>
      <c r="D2" s="756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  <c r="P2" s="758"/>
      <c r="Q2" s="543" t="s">
        <v>353</v>
      </c>
      <c r="R2" s="543"/>
      <c r="S2" s="544"/>
      <c r="T2" s="545"/>
      <c r="U2" s="518"/>
      <c r="V2" s="519"/>
    </row>
    <row r="3" spans="2:29" s="13" customFormat="1" ht="43.5" customHeight="1" x14ac:dyDescent="0.3">
      <c r="B3" s="532"/>
      <c r="C3" s="533"/>
      <c r="D3" s="759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1"/>
      <c r="Q3" s="524" t="s">
        <v>354</v>
      </c>
      <c r="R3" s="524"/>
      <c r="S3" s="525"/>
      <c r="T3" s="526"/>
      <c r="U3" s="520"/>
      <c r="V3" s="521"/>
    </row>
    <row r="4" spans="2:29" s="13" customFormat="1" ht="48.75" customHeight="1" x14ac:dyDescent="0.3">
      <c r="B4" s="532"/>
      <c r="C4" s="533"/>
      <c r="D4" s="759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1"/>
      <c r="Q4" s="527" t="s">
        <v>355</v>
      </c>
      <c r="R4" s="527"/>
      <c r="S4" s="528"/>
      <c r="T4" s="529"/>
      <c r="U4" s="522"/>
      <c r="V4" s="523"/>
    </row>
    <row r="5" spans="2:29" s="13" customFormat="1" ht="32.25" customHeight="1" x14ac:dyDescent="0.3">
      <c r="B5" s="546"/>
      <c r="C5" s="547"/>
      <c r="D5" s="759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  <c r="P5" s="761"/>
      <c r="Q5" s="548" t="s">
        <v>356</v>
      </c>
      <c r="R5" s="548"/>
      <c r="S5" s="549"/>
      <c r="T5" s="550"/>
      <c r="U5" s="553"/>
      <c r="V5" s="554"/>
    </row>
    <row r="6" spans="2:29" s="13" customFormat="1" ht="33" customHeight="1" x14ac:dyDescent="0.3">
      <c r="B6" s="233" t="s">
        <v>357</v>
      </c>
      <c r="C6" s="234"/>
      <c r="D6" s="759"/>
      <c r="E6" s="760"/>
      <c r="F6" s="760"/>
      <c r="G6" s="760"/>
      <c r="H6" s="760"/>
      <c r="I6" s="760"/>
      <c r="J6" s="760"/>
      <c r="K6" s="760"/>
      <c r="L6" s="760"/>
      <c r="M6" s="760"/>
      <c r="N6" s="760"/>
      <c r="O6" s="760"/>
      <c r="P6" s="761"/>
      <c r="Q6" s="548" t="s">
        <v>358</v>
      </c>
      <c r="R6" s="548"/>
      <c r="S6" s="549"/>
      <c r="T6" s="550"/>
      <c r="U6" s="555"/>
      <c r="V6" s="556"/>
    </row>
    <row r="7" spans="2:29" s="13" customFormat="1" ht="29.25" customHeight="1" thickBot="1" x14ac:dyDescent="0.35">
      <c r="B7" s="235" t="s">
        <v>359</v>
      </c>
      <c r="C7" s="236"/>
      <c r="D7" s="762"/>
      <c r="E7" s="763"/>
      <c r="F7" s="763"/>
      <c r="G7" s="763"/>
      <c r="H7" s="763"/>
      <c r="I7" s="763"/>
      <c r="J7" s="763"/>
      <c r="K7" s="763"/>
      <c r="L7" s="763"/>
      <c r="M7" s="763"/>
      <c r="N7" s="763"/>
      <c r="O7" s="763"/>
      <c r="P7" s="764"/>
      <c r="Q7" s="557" t="s">
        <v>360</v>
      </c>
      <c r="R7" s="557"/>
      <c r="S7" s="564"/>
      <c r="T7" s="565"/>
      <c r="U7" s="237"/>
      <c r="V7" s="238"/>
    </row>
    <row r="8" spans="2:29" ht="68.25" customHeight="1" thickBot="1" x14ac:dyDescent="0.35">
      <c r="B8" s="15" t="s">
        <v>0</v>
      </c>
      <c r="C8" s="16" t="s">
        <v>1</v>
      </c>
      <c r="D8" s="16" t="s">
        <v>2</v>
      </c>
      <c r="E8" s="17" t="s">
        <v>127</v>
      </c>
      <c r="F8" s="17" t="s">
        <v>4</v>
      </c>
      <c r="G8" s="18"/>
      <c r="H8" s="17" t="s">
        <v>3</v>
      </c>
      <c r="I8" s="17" t="s">
        <v>56</v>
      </c>
      <c r="J8" s="17" t="s">
        <v>5</v>
      </c>
      <c r="K8" s="18"/>
      <c r="L8" s="17" t="s">
        <v>17</v>
      </c>
      <c r="M8" s="17" t="s">
        <v>7</v>
      </c>
      <c r="N8" s="17" t="s">
        <v>8</v>
      </c>
      <c r="O8" s="17" t="s">
        <v>9</v>
      </c>
      <c r="P8" s="560" t="s">
        <v>6</v>
      </c>
      <c r="Q8" s="561"/>
      <c r="R8" s="16" t="s">
        <v>10</v>
      </c>
      <c r="S8" s="17" t="s">
        <v>11</v>
      </c>
      <c r="T8" s="16" t="s">
        <v>12</v>
      </c>
      <c r="U8" s="17" t="s">
        <v>128</v>
      </c>
      <c r="V8" s="19" t="s">
        <v>129</v>
      </c>
    </row>
    <row r="9" spans="2:29" ht="42.75" customHeight="1" thickBot="1" x14ac:dyDescent="0.35">
      <c r="B9" s="558" t="s">
        <v>323</v>
      </c>
      <c r="C9" s="559"/>
      <c r="D9" s="39"/>
      <c r="E9" s="39"/>
      <c r="F9" s="39"/>
      <c r="G9" s="39"/>
      <c r="H9" s="40"/>
      <c r="I9" s="40"/>
      <c r="J9" s="40"/>
      <c r="K9" s="40"/>
      <c r="L9" s="40"/>
      <c r="M9" s="166"/>
      <c r="N9" s="166"/>
      <c r="O9" s="166"/>
      <c r="P9" s="69" t="s">
        <v>16</v>
      </c>
      <c r="Q9" s="69" t="s">
        <v>134</v>
      </c>
      <c r="R9" s="41"/>
      <c r="S9" s="40"/>
      <c r="T9" s="65"/>
      <c r="U9" s="42"/>
      <c r="V9" s="43"/>
      <c r="X9" s="5" t="s">
        <v>77</v>
      </c>
      <c r="Y9" s="243" t="s">
        <v>365</v>
      </c>
      <c r="Z9" s="6"/>
      <c r="AB9" s="134" t="s">
        <v>188</v>
      </c>
      <c r="AC9" s="244" t="s">
        <v>367</v>
      </c>
    </row>
    <row r="10" spans="2:29" ht="30" customHeight="1" x14ac:dyDescent="0.3">
      <c r="B10" s="28">
        <v>1</v>
      </c>
      <c r="C10" s="29" t="s">
        <v>301</v>
      </c>
      <c r="D10" s="2" t="s">
        <v>131</v>
      </c>
      <c r="E10" s="73" t="s">
        <v>249</v>
      </c>
      <c r="F10" s="2"/>
      <c r="G10" s="30"/>
      <c r="H10" s="2">
        <v>1200</v>
      </c>
      <c r="I10" s="21"/>
      <c r="J10" s="2">
        <f>H10-I10</f>
        <v>1200</v>
      </c>
      <c r="K10" s="30"/>
      <c r="L10" s="2">
        <v>0.65</v>
      </c>
      <c r="M10" s="3">
        <f>H10/L10</f>
        <v>1846.1538461538462</v>
      </c>
      <c r="N10" s="3"/>
      <c r="O10" s="3">
        <f>M10-N10</f>
        <v>1846.1538461538462</v>
      </c>
      <c r="P10" s="2">
        <v>60</v>
      </c>
      <c r="Q10" s="11">
        <f>P10/60</f>
        <v>1</v>
      </c>
      <c r="R10" s="51" t="s">
        <v>96</v>
      </c>
      <c r="S10" s="51" t="s">
        <v>96</v>
      </c>
      <c r="T10" s="31" t="s">
        <v>57</v>
      </c>
      <c r="U10" s="52" t="s">
        <v>91</v>
      </c>
      <c r="V10" s="53"/>
      <c r="X10" s="7" t="s">
        <v>1</v>
      </c>
      <c r="Y10" s="2" t="s">
        <v>130</v>
      </c>
      <c r="Z10" s="8"/>
      <c r="AB10" s="7" t="s">
        <v>189</v>
      </c>
      <c r="AC10" s="98" t="s">
        <v>49</v>
      </c>
    </row>
    <row r="11" spans="2:29" ht="30" customHeight="1" x14ac:dyDescent="0.3">
      <c r="B11" s="20">
        <v>2</v>
      </c>
      <c r="C11" s="21" t="s">
        <v>296</v>
      </c>
      <c r="D11" s="2" t="s">
        <v>132</v>
      </c>
      <c r="E11" s="73" t="s">
        <v>249</v>
      </c>
      <c r="F11" s="2"/>
      <c r="G11" s="30"/>
      <c r="H11" s="2">
        <v>875</v>
      </c>
      <c r="I11" s="21"/>
      <c r="J11" s="2">
        <f>J10+H11-I11</f>
        <v>2075</v>
      </c>
      <c r="K11" s="30"/>
      <c r="L11" s="2">
        <v>1.2</v>
      </c>
      <c r="M11" s="3">
        <f t="shared" ref="M11:M12" si="0">H11/L11</f>
        <v>729.16666666666674</v>
      </c>
      <c r="N11" s="3"/>
      <c r="O11" s="3">
        <f>O10+M11-N11</f>
        <v>2575.3205128205127</v>
      </c>
      <c r="P11" s="2">
        <v>60</v>
      </c>
      <c r="Q11" s="11">
        <f t="shared" ref="Q11:Q14" si="1">P11/60</f>
        <v>1</v>
      </c>
      <c r="R11" s="51" t="s">
        <v>15</v>
      </c>
      <c r="S11" s="51" t="s">
        <v>15</v>
      </c>
      <c r="T11" s="31" t="s">
        <v>57</v>
      </c>
      <c r="U11" s="52" t="s">
        <v>22</v>
      </c>
      <c r="V11" s="53"/>
      <c r="X11" s="7" t="s">
        <v>78</v>
      </c>
      <c r="Y11" s="11">
        <f>Q15+SUM(Q22:Q28)</f>
        <v>16.5</v>
      </c>
      <c r="Z11" s="9"/>
      <c r="AB11" s="7" t="s">
        <v>190</v>
      </c>
      <c r="AC11" s="98">
        <v>18</v>
      </c>
    </row>
    <row r="12" spans="2:29" ht="30" customHeight="1" x14ac:dyDescent="0.3">
      <c r="B12" s="20">
        <v>3</v>
      </c>
      <c r="C12" s="21" t="s">
        <v>97</v>
      </c>
      <c r="D12" s="2" t="s">
        <v>133</v>
      </c>
      <c r="E12" s="73" t="s">
        <v>249</v>
      </c>
      <c r="F12" s="2"/>
      <c r="G12" s="30"/>
      <c r="H12" s="2">
        <v>1225</v>
      </c>
      <c r="I12" s="21"/>
      <c r="J12" s="2">
        <f>J11+H12-I12</f>
        <v>3300</v>
      </c>
      <c r="K12" s="30"/>
      <c r="L12" s="2">
        <v>1.44</v>
      </c>
      <c r="M12" s="3">
        <f t="shared" si="0"/>
        <v>850.69444444444446</v>
      </c>
      <c r="N12" s="3"/>
      <c r="O12" s="3">
        <f t="shared" ref="O12:O14" si="2">O11+M12-N12</f>
        <v>3426.014957264957</v>
      </c>
      <c r="P12" s="2">
        <v>60</v>
      </c>
      <c r="Q12" s="11">
        <f t="shared" si="1"/>
        <v>1</v>
      </c>
      <c r="R12" s="51" t="s">
        <v>15</v>
      </c>
      <c r="S12" s="51" t="s">
        <v>15</v>
      </c>
      <c r="T12" s="31" t="s">
        <v>57</v>
      </c>
      <c r="U12" s="52" t="s">
        <v>22</v>
      </c>
      <c r="V12" s="53"/>
      <c r="X12" s="7" t="s">
        <v>79</v>
      </c>
      <c r="Y12" s="2" t="s">
        <v>89</v>
      </c>
      <c r="Z12" s="9"/>
      <c r="AB12" s="7" t="s">
        <v>79</v>
      </c>
      <c r="AC12" s="98" t="s">
        <v>292</v>
      </c>
    </row>
    <row r="13" spans="2:29" ht="30" customHeight="1" thickBot="1" x14ac:dyDescent="0.35">
      <c r="B13" s="20">
        <v>4</v>
      </c>
      <c r="C13" s="21" t="s">
        <v>20</v>
      </c>
      <c r="D13" s="2"/>
      <c r="E13" s="30"/>
      <c r="F13" s="2"/>
      <c r="G13" s="30"/>
      <c r="H13" s="2"/>
      <c r="I13" s="21"/>
      <c r="J13" s="2">
        <f t="shared" ref="J13:J14" si="3">J12+H13-I13</f>
        <v>3300</v>
      </c>
      <c r="K13" s="30"/>
      <c r="L13" s="2"/>
      <c r="M13" s="3"/>
      <c r="N13" s="3"/>
      <c r="O13" s="3">
        <f t="shared" si="2"/>
        <v>3426.014957264957</v>
      </c>
      <c r="P13" s="2">
        <v>60</v>
      </c>
      <c r="Q13" s="11">
        <f t="shared" si="1"/>
        <v>1</v>
      </c>
      <c r="R13" s="51" t="s">
        <v>50</v>
      </c>
      <c r="S13" s="2"/>
      <c r="T13" s="31" t="s">
        <v>58</v>
      </c>
      <c r="U13" s="2" t="s">
        <v>59</v>
      </c>
      <c r="V13" s="53"/>
      <c r="X13" s="7" t="s">
        <v>80</v>
      </c>
      <c r="Y13" s="242" t="s">
        <v>284</v>
      </c>
      <c r="Z13" s="8"/>
      <c r="AB13" s="10" t="s">
        <v>191</v>
      </c>
      <c r="AC13" s="99" t="s">
        <v>366</v>
      </c>
    </row>
    <row r="14" spans="2:29" ht="30" customHeight="1" thickBot="1" x14ac:dyDescent="0.35">
      <c r="B14" s="32">
        <v>5</v>
      </c>
      <c r="C14" s="23" t="s">
        <v>21</v>
      </c>
      <c r="D14" s="22"/>
      <c r="E14" s="54"/>
      <c r="F14" s="22"/>
      <c r="G14" s="54"/>
      <c r="H14" s="22"/>
      <c r="I14" s="23"/>
      <c r="J14" s="2">
        <f t="shared" si="3"/>
        <v>3300</v>
      </c>
      <c r="K14" s="54"/>
      <c r="L14" s="22"/>
      <c r="M14" s="24"/>
      <c r="N14" s="24"/>
      <c r="O14" s="3">
        <f t="shared" si="2"/>
        <v>3426.014957264957</v>
      </c>
      <c r="P14" s="22">
        <v>60</v>
      </c>
      <c r="Q14" s="25">
        <f t="shared" si="1"/>
        <v>1</v>
      </c>
      <c r="R14" s="55" t="s">
        <v>50</v>
      </c>
      <c r="S14" s="22"/>
      <c r="T14" s="64" t="s">
        <v>58</v>
      </c>
      <c r="U14" s="22" t="s">
        <v>59</v>
      </c>
      <c r="V14" s="26"/>
      <c r="X14" s="7" t="s">
        <v>81</v>
      </c>
      <c r="Y14" s="2" t="s">
        <v>90</v>
      </c>
      <c r="Z14" s="8"/>
      <c r="AB14" s="138"/>
      <c r="AC14" s="139"/>
    </row>
    <row r="15" spans="2:29" ht="35.1" customHeight="1" thickBot="1" x14ac:dyDescent="0.35">
      <c r="B15" s="562" t="s">
        <v>13</v>
      </c>
      <c r="C15" s="563"/>
      <c r="D15" s="33" t="s">
        <v>96</v>
      </c>
      <c r="E15" s="33" t="s">
        <v>96</v>
      </c>
      <c r="F15" s="33" t="s">
        <v>96</v>
      </c>
      <c r="G15" s="60"/>
      <c r="H15" s="33">
        <f>SUM(H10:H14)</f>
        <v>3300</v>
      </c>
      <c r="I15" s="33">
        <f>SUM(I10:I14)</f>
        <v>0</v>
      </c>
      <c r="J15" s="33">
        <f>H15-I15</f>
        <v>3300</v>
      </c>
      <c r="K15" s="61"/>
      <c r="L15" s="33" t="s">
        <v>96</v>
      </c>
      <c r="M15" s="34">
        <f>SUM(M10:M14)</f>
        <v>3426.014957264957</v>
      </c>
      <c r="N15" s="34">
        <f>SUM(N10:N14)</f>
        <v>0</v>
      </c>
      <c r="O15" s="34">
        <f>M15-N15</f>
        <v>3426.014957264957</v>
      </c>
      <c r="P15" s="33">
        <f>SUM(P10:P14)</f>
        <v>300</v>
      </c>
      <c r="Q15" s="35">
        <f>SUM(Q10:Q14)</f>
        <v>5</v>
      </c>
      <c r="R15" s="56" t="s">
        <v>96</v>
      </c>
      <c r="S15" s="33" t="s">
        <v>96</v>
      </c>
      <c r="T15" s="66" t="s">
        <v>96</v>
      </c>
      <c r="U15" s="33" t="s">
        <v>96</v>
      </c>
      <c r="V15" s="63"/>
      <c r="X15" s="7" t="s">
        <v>10</v>
      </c>
      <c r="Y15" s="2" t="s">
        <v>151</v>
      </c>
      <c r="Z15" s="8"/>
      <c r="AB15" s="134" t="s">
        <v>192</v>
      </c>
      <c r="AC15" s="244" t="s">
        <v>367</v>
      </c>
    </row>
    <row r="16" spans="2:29" ht="47.25" customHeight="1" thickBot="1" x14ac:dyDescent="0.35">
      <c r="B16" s="558" t="s">
        <v>322</v>
      </c>
      <c r="C16" s="559"/>
      <c r="D16" s="39"/>
      <c r="E16" s="39"/>
      <c r="F16" s="39"/>
      <c r="G16" s="39"/>
      <c r="H16" s="40"/>
      <c r="I16" s="40"/>
      <c r="J16" s="40"/>
      <c r="K16" s="40"/>
      <c r="L16" s="40"/>
      <c r="M16" s="166"/>
      <c r="N16" s="166"/>
      <c r="O16" s="166"/>
      <c r="P16" s="189"/>
      <c r="Q16" s="189"/>
      <c r="R16" s="41"/>
      <c r="S16" s="40"/>
      <c r="T16" s="65"/>
      <c r="U16" s="42"/>
      <c r="V16" s="43"/>
      <c r="X16" s="7" t="s">
        <v>82</v>
      </c>
      <c r="Y16" s="96" t="s">
        <v>152</v>
      </c>
      <c r="Z16" s="8"/>
      <c r="AB16" s="7" t="s">
        <v>189</v>
      </c>
      <c r="AC16" s="98" t="s">
        <v>91</v>
      </c>
    </row>
    <row r="17" spans="2:35" ht="35.1" customHeight="1" x14ac:dyDescent="0.3">
      <c r="B17" s="28">
        <v>1</v>
      </c>
      <c r="C17" s="48" t="s">
        <v>300</v>
      </c>
      <c r="D17" s="2" t="s">
        <v>135</v>
      </c>
      <c r="E17" s="187">
        <v>18</v>
      </c>
      <c r="F17" s="2"/>
      <c r="G17" s="30"/>
      <c r="H17" s="31">
        <v>1200</v>
      </c>
      <c r="I17" s="2"/>
      <c r="J17" s="2">
        <f>J16+H17-I17</f>
        <v>1200</v>
      </c>
      <c r="K17" s="30"/>
      <c r="L17" s="31">
        <v>1</v>
      </c>
      <c r="M17" s="3">
        <f t="shared" ref="M17:M18" si="4">H17/L17</f>
        <v>1200</v>
      </c>
      <c r="N17" s="3"/>
      <c r="O17" s="3">
        <f>M17-N17</f>
        <v>1200</v>
      </c>
      <c r="P17" s="31">
        <v>60</v>
      </c>
      <c r="Q17" s="75">
        <f>P17/60</f>
        <v>1</v>
      </c>
      <c r="R17" s="52" t="s">
        <v>50</v>
      </c>
      <c r="S17" s="31"/>
      <c r="T17" s="31" t="s">
        <v>51</v>
      </c>
      <c r="U17" s="31" t="s">
        <v>325</v>
      </c>
      <c r="V17" s="8"/>
      <c r="X17" s="7" t="s">
        <v>83</v>
      </c>
      <c r="Y17" s="188">
        <v>95</v>
      </c>
      <c r="Z17" s="8"/>
      <c r="AB17" s="7" t="s">
        <v>190</v>
      </c>
      <c r="AC17" s="98">
        <v>10</v>
      </c>
    </row>
    <row r="18" spans="2:35" ht="35.1" customHeight="1" x14ac:dyDescent="0.3">
      <c r="B18" s="20">
        <v>2</v>
      </c>
      <c r="C18" s="48" t="s">
        <v>72</v>
      </c>
      <c r="D18" s="31" t="s">
        <v>138</v>
      </c>
      <c r="E18" s="188" t="s">
        <v>249</v>
      </c>
      <c r="F18" s="2"/>
      <c r="G18" s="30"/>
      <c r="H18" s="31">
        <v>250</v>
      </c>
      <c r="I18" s="2"/>
      <c r="J18" s="2">
        <f t="shared" ref="J18:J19" si="5">J17+H18-I18</f>
        <v>1450</v>
      </c>
      <c r="K18" s="30"/>
      <c r="L18" s="31">
        <v>1.1599999999999999</v>
      </c>
      <c r="M18" s="3">
        <f t="shared" si="4"/>
        <v>215.51724137931035</v>
      </c>
      <c r="N18" s="3"/>
      <c r="O18" s="3">
        <f t="shared" ref="O18:O19" si="6">O17+M18-N18</f>
        <v>1415.5172413793102</v>
      </c>
      <c r="P18" s="31">
        <v>30</v>
      </c>
      <c r="Q18" s="75">
        <f>P18/60</f>
        <v>0.5</v>
      </c>
      <c r="R18" s="52" t="s">
        <v>250</v>
      </c>
      <c r="S18" s="52" t="s">
        <v>15</v>
      </c>
      <c r="T18" s="31" t="s">
        <v>51</v>
      </c>
      <c r="U18" s="31" t="s">
        <v>325</v>
      </c>
      <c r="V18" s="8"/>
      <c r="X18" s="7" t="s">
        <v>84</v>
      </c>
      <c r="Y18" s="188" t="s">
        <v>362</v>
      </c>
      <c r="Z18" s="8"/>
      <c r="AB18" s="7" t="s">
        <v>79</v>
      </c>
      <c r="AC18" s="98" t="s">
        <v>292</v>
      </c>
    </row>
    <row r="19" spans="2:35" ht="35.1" customHeight="1" thickBot="1" x14ac:dyDescent="0.35">
      <c r="B19" s="20">
        <v>3</v>
      </c>
      <c r="C19" s="21" t="s">
        <v>21</v>
      </c>
      <c r="D19" s="2"/>
      <c r="E19" s="73"/>
      <c r="F19" s="2"/>
      <c r="G19" s="30"/>
      <c r="H19" s="2"/>
      <c r="I19" s="21"/>
      <c r="J19" s="2">
        <f t="shared" si="5"/>
        <v>1450</v>
      </c>
      <c r="K19" s="30"/>
      <c r="L19" s="2"/>
      <c r="M19" s="3"/>
      <c r="N19" s="3"/>
      <c r="O19" s="3">
        <f t="shared" si="6"/>
        <v>1415.5172413793102</v>
      </c>
      <c r="P19" s="2">
        <v>60</v>
      </c>
      <c r="Q19" s="191">
        <f>P19/60</f>
        <v>1</v>
      </c>
      <c r="R19" s="277" t="s">
        <v>50</v>
      </c>
      <c r="S19" s="51"/>
      <c r="T19" s="31" t="s">
        <v>302</v>
      </c>
      <c r="U19" s="52" t="s">
        <v>325</v>
      </c>
      <c r="V19" s="53"/>
      <c r="X19" s="7" t="s">
        <v>85</v>
      </c>
      <c r="Y19" s="188" t="s">
        <v>363</v>
      </c>
      <c r="Z19" s="8"/>
      <c r="AB19" s="10" t="s">
        <v>191</v>
      </c>
      <c r="AC19" s="99" t="s">
        <v>366</v>
      </c>
    </row>
    <row r="20" spans="2:35" ht="30.75" customHeight="1" thickBot="1" x14ac:dyDescent="0.35">
      <c r="B20" s="562" t="s">
        <v>13</v>
      </c>
      <c r="C20" s="563"/>
      <c r="D20" s="33" t="s">
        <v>96</v>
      </c>
      <c r="E20" s="33" t="s">
        <v>96</v>
      </c>
      <c r="F20" s="33" t="s">
        <v>96</v>
      </c>
      <c r="G20" s="60"/>
      <c r="H20" s="33">
        <f>SUM(H17:H19)</f>
        <v>1450</v>
      </c>
      <c r="I20" s="33">
        <f>SUM(I17:I19)</f>
        <v>0</v>
      </c>
      <c r="J20" s="33">
        <f>H20-I20</f>
        <v>1450</v>
      </c>
      <c r="K20" s="61"/>
      <c r="L20" s="33" t="s">
        <v>96</v>
      </c>
      <c r="M20" s="34">
        <f>SUM(M17:M19)</f>
        <v>1415.5172413793102</v>
      </c>
      <c r="N20" s="34">
        <f>SUM(N17:N19)</f>
        <v>0</v>
      </c>
      <c r="O20" s="34">
        <f>M20-N20</f>
        <v>1415.5172413793102</v>
      </c>
      <c r="P20" s="33">
        <f>SUM(P17:P19)</f>
        <v>150</v>
      </c>
      <c r="Q20" s="35">
        <f>SUM(Q17:Q19)</f>
        <v>2.5</v>
      </c>
      <c r="R20" s="56" t="s">
        <v>96</v>
      </c>
      <c r="S20" s="33" t="s">
        <v>96</v>
      </c>
      <c r="T20" s="66" t="s">
        <v>96</v>
      </c>
      <c r="U20" s="33" t="s">
        <v>96</v>
      </c>
      <c r="V20" s="63"/>
      <c r="X20" s="97" t="s">
        <v>86</v>
      </c>
      <c r="Y20" s="188" t="s">
        <v>285</v>
      </c>
      <c r="Z20" s="8"/>
    </row>
    <row r="21" spans="2:35" ht="45" customHeight="1" thickBot="1" x14ac:dyDescent="0.35">
      <c r="B21" s="558" t="s">
        <v>411</v>
      </c>
      <c r="C21" s="559"/>
      <c r="D21" s="44"/>
      <c r="E21" s="44"/>
      <c r="F21" s="44"/>
      <c r="G21" s="44"/>
      <c r="H21" s="44"/>
      <c r="I21" s="45"/>
      <c r="J21" s="45"/>
      <c r="K21" s="45"/>
      <c r="L21" s="44"/>
      <c r="M21" s="167"/>
      <c r="N21" s="168"/>
      <c r="O21" s="168"/>
      <c r="P21" s="44"/>
      <c r="Q21" s="44"/>
      <c r="R21" s="45"/>
      <c r="S21" s="44"/>
      <c r="T21" s="67"/>
      <c r="U21" s="44"/>
      <c r="V21" s="98"/>
      <c r="X21" s="7" t="s">
        <v>87</v>
      </c>
      <c r="Y21" s="188" t="s">
        <v>364</v>
      </c>
      <c r="Z21" s="8"/>
    </row>
    <row r="22" spans="2:35" ht="30" customHeight="1" x14ac:dyDescent="0.3">
      <c r="B22" s="20">
        <v>1</v>
      </c>
      <c r="C22" s="48" t="s">
        <v>305</v>
      </c>
      <c r="D22" s="2" t="s">
        <v>131</v>
      </c>
      <c r="E22" s="188" t="s">
        <v>249</v>
      </c>
      <c r="F22" s="2"/>
      <c r="G22" s="30"/>
      <c r="H22" s="31">
        <v>3500</v>
      </c>
      <c r="I22" s="2"/>
      <c r="J22" s="2">
        <f>H22-I22</f>
        <v>3500</v>
      </c>
      <c r="K22" s="30"/>
      <c r="L22" s="31">
        <v>0.65</v>
      </c>
      <c r="M22" s="3">
        <f t="shared" ref="M22:M28" si="7">H22/L22</f>
        <v>5384.6153846153848</v>
      </c>
      <c r="N22" s="3"/>
      <c r="O22" s="3">
        <f>M22-N22</f>
        <v>5384.6153846153848</v>
      </c>
      <c r="P22" s="31">
        <v>120</v>
      </c>
      <c r="Q22" s="75">
        <f>P22/60</f>
        <v>2</v>
      </c>
      <c r="R22" s="52" t="s">
        <v>50</v>
      </c>
      <c r="S22" s="31"/>
      <c r="T22" s="31" t="s">
        <v>51</v>
      </c>
      <c r="U22" s="31" t="s">
        <v>49</v>
      </c>
      <c r="V22" s="8"/>
      <c r="X22" s="7" t="s">
        <v>88</v>
      </c>
      <c r="Y22" s="30" t="s">
        <v>95</v>
      </c>
      <c r="Z22" s="98"/>
    </row>
    <row r="23" spans="2:35" ht="30" customHeight="1" thickBot="1" x14ac:dyDescent="0.35">
      <c r="B23" s="551">
        <f>1+B22</f>
        <v>2</v>
      </c>
      <c r="C23" s="514" t="s">
        <v>388</v>
      </c>
      <c r="D23" s="516" t="s">
        <v>141</v>
      </c>
      <c r="E23" s="187" t="s">
        <v>249</v>
      </c>
      <c r="F23" s="193"/>
      <c r="G23" s="193"/>
      <c r="H23" s="73">
        <v>1200</v>
      </c>
      <c r="I23" s="30"/>
      <c r="J23" s="30">
        <f>J22+H23-I23</f>
        <v>4700</v>
      </c>
      <c r="K23" s="30"/>
      <c r="L23" s="73">
        <v>1</v>
      </c>
      <c r="M23" s="161">
        <f t="shared" si="7"/>
        <v>1200</v>
      </c>
      <c r="N23" s="161"/>
      <c r="O23" s="161">
        <f>O22+M23-N23</f>
        <v>6584.6153846153848</v>
      </c>
      <c r="P23" s="68">
        <v>60</v>
      </c>
      <c r="Q23" s="247">
        <f>P23/60</f>
        <v>1</v>
      </c>
      <c r="R23" s="591" t="s">
        <v>50</v>
      </c>
      <c r="S23" s="591"/>
      <c r="T23" s="593" t="s">
        <v>51</v>
      </c>
      <c r="U23" s="593" t="s">
        <v>49</v>
      </c>
      <c r="V23" s="571" t="s">
        <v>303</v>
      </c>
      <c r="X23" s="10" t="s">
        <v>153</v>
      </c>
      <c r="Y23" s="222" t="s">
        <v>286</v>
      </c>
      <c r="Z23" s="99"/>
    </row>
    <row r="24" spans="2:35" ht="36.75" customHeight="1" x14ac:dyDescent="0.3">
      <c r="B24" s="552"/>
      <c r="C24" s="515"/>
      <c r="D24" s="517"/>
      <c r="E24" s="188" t="s">
        <v>249</v>
      </c>
      <c r="F24" s="193"/>
      <c r="G24" s="193"/>
      <c r="H24" s="73">
        <v>250</v>
      </c>
      <c r="I24" s="30"/>
      <c r="J24" s="30">
        <f t="shared" ref="J24:J71" si="8">J23+H24-I24</f>
        <v>4950</v>
      </c>
      <c r="K24" s="30"/>
      <c r="L24" s="73">
        <v>1.1599999999999999</v>
      </c>
      <c r="M24" s="161">
        <f t="shared" si="7"/>
        <v>215.51724137931035</v>
      </c>
      <c r="N24" s="161"/>
      <c r="O24" s="161">
        <f t="shared" ref="O24:O71" si="9">O23+M24-N24</f>
        <v>6800.1326259946954</v>
      </c>
      <c r="P24" s="68">
        <v>30</v>
      </c>
      <c r="Q24" s="247">
        <f>P24/60</f>
        <v>0.5</v>
      </c>
      <c r="R24" s="592"/>
      <c r="S24" s="592"/>
      <c r="T24" s="594"/>
      <c r="U24" s="594"/>
      <c r="V24" s="572"/>
    </row>
    <row r="25" spans="2:35" ht="30" customHeight="1" x14ac:dyDescent="0.3">
      <c r="B25" s="20">
        <f>1+B23</f>
        <v>3</v>
      </c>
      <c r="C25" s="48" t="s">
        <v>76</v>
      </c>
      <c r="D25" s="2" t="s">
        <v>139</v>
      </c>
      <c r="E25" s="188" t="s">
        <v>249</v>
      </c>
      <c r="F25" s="2"/>
      <c r="G25" s="30"/>
      <c r="H25" s="31">
        <v>21</v>
      </c>
      <c r="I25" s="2"/>
      <c r="J25" s="2">
        <f t="shared" si="8"/>
        <v>4971</v>
      </c>
      <c r="K25" s="30"/>
      <c r="L25" s="73">
        <v>2.5</v>
      </c>
      <c r="M25" s="161">
        <f>H25/L25</f>
        <v>8.4</v>
      </c>
      <c r="N25" s="3"/>
      <c r="O25" s="3">
        <f t="shared" si="9"/>
        <v>6808.5326259946951</v>
      </c>
      <c r="P25" s="73">
        <v>30</v>
      </c>
      <c r="Q25" s="191">
        <f t="shared" ref="Q25:Q64" si="10">P25/60</f>
        <v>0.5</v>
      </c>
      <c r="R25" s="52" t="s">
        <v>250</v>
      </c>
      <c r="S25" s="52" t="s">
        <v>15</v>
      </c>
      <c r="T25" s="73" t="s">
        <v>51</v>
      </c>
      <c r="U25" s="73" t="s">
        <v>49</v>
      </c>
      <c r="V25" s="8"/>
    </row>
    <row r="26" spans="2:35" ht="30" customHeight="1" x14ac:dyDescent="0.3">
      <c r="B26" s="20">
        <f t="shared" ref="B26:B71" si="11">1+B25</f>
        <v>4</v>
      </c>
      <c r="C26" s="48" t="s">
        <v>73</v>
      </c>
      <c r="D26" s="2" t="s">
        <v>140</v>
      </c>
      <c r="E26" s="188" t="s">
        <v>249</v>
      </c>
      <c r="F26" s="2"/>
      <c r="G26" s="30"/>
      <c r="H26" s="31">
        <v>30</v>
      </c>
      <c r="I26" s="2"/>
      <c r="J26" s="2">
        <f t="shared" si="8"/>
        <v>5001</v>
      </c>
      <c r="K26" s="30"/>
      <c r="L26" s="31">
        <v>1.1499999999999999</v>
      </c>
      <c r="M26" s="3">
        <f>H26/L26</f>
        <v>26.086956521739133</v>
      </c>
      <c r="N26" s="3"/>
      <c r="O26" s="3">
        <f t="shared" si="9"/>
        <v>6834.6195825164341</v>
      </c>
      <c r="P26" s="73">
        <v>30</v>
      </c>
      <c r="Q26" s="191">
        <f t="shared" si="10"/>
        <v>0.5</v>
      </c>
      <c r="R26" s="52" t="s">
        <v>250</v>
      </c>
      <c r="S26" s="52" t="s">
        <v>15</v>
      </c>
      <c r="T26" s="73" t="s">
        <v>51</v>
      </c>
      <c r="U26" s="73" t="s">
        <v>49</v>
      </c>
      <c r="V26" s="8"/>
    </row>
    <row r="27" spans="2:35" ht="30" customHeight="1" x14ac:dyDescent="0.3">
      <c r="B27" s="20">
        <f t="shared" si="11"/>
        <v>5</v>
      </c>
      <c r="C27" s="48" t="s">
        <v>23</v>
      </c>
      <c r="D27" s="2"/>
      <c r="E27" s="187"/>
      <c r="F27" s="2"/>
      <c r="G27" s="30"/>
      <c r="H27" s="31"/>
      <c r="I27" s="2"/>
      <c r="J27" s="2">
        <f t="shared" si="8"/>
        <v>5001</v>
      </c>
      <c r="K27" s="30"/>
      <c r="L27" s="31"/>
      <c r="M27" s="3"/>
      <c r="N27" s="3"/>
      <c r="O27" s="3">
        <f t="shared" si="9"/>
        <v>6834.6195825164341</v>
      </c>
      <c r="P27" s="31">
        <v>120</v>
      </c>
      <c r="Q27" s="75">
        <f t="shared" si="10"/>
        <v>2</v>
      </c>
      <c r="R27" s="52" t="s">
        <v>50</v>
      </c>
      <c r="S27" s="31"/>
      <c r="T27" s="31" t="s">
        <v>60</v>
      </c>
      <c r="U27" s="31" t="s">
        <v>91</v>
      </c>
      <c r="V27" s="8"/>
    </row>
    <row r="28" spans="2:35" ht="30" customHeight="1" x14ac:dyDescent="0.3">
      <c r="B28" s="20">
        <f t="shared" si="11"/>
        <v>6</v>
      </c>
      <c r="C28" s="48" t="s">
        <v>98</v>
      </c>
      <c r="D28" s="2" t="s">
        <v>141</v>
      </c>
      <c r="E28" s="188" t="s">
        <v>249</v>
      </c>
      <c r="F28" s="2"/>
      <c r="G28" s="30"/>
      <c r="H28" s="31">
        <f>J12</f>
        <v>3300</v>
      </c>
      <c r="I28" s="2"/>
      <c r="J28" s="2">
        <f t="shared" si="8"/>
        <v>8301</v>
      </c>
      <c r="K28" s="30"/>
      <c r="L28" s="31">
        <v>1.2</v>
      </c>
      <c r="M28" s="3">
        <f t="shared" si="7"/>
        <v>2750</v>
      </c>
      <c r="N28" s="3"/>
      <c r="O28" s="3">
        <f t="shared" si="9"/>
        <v>9584.6195825164341</v>
      </c>
      <c r="P28" s="31">
        <v>300</v>
      </c>
      <c r="Q28" s="75">
        <f t="shared" si="10"/>
        <v>5</v>
      </c>
      <c r="R28" s="52" t="s">
        <v>50</v>
      </c>
      <c r="S28" s="31"/>
      <c r="T28" s="31" t="s">
        <v>60</v>
      </c>
      <c r="U28" s="31" t="s">
        <v>91</v>
      </c>
      <c r="V28" s="8"/>
    </row>
    <row r="29" spans="2:35" ht="30" customHeight="1" thickBot="1" x14ac:dyDescent="0.35">
      <c r="B29" s="20">
        <f t="shared" si="11"/>
        <v>7</v>
      </c>
      <c r="C29" s="48" t="s">
        <v>99</v>
      </c>
      <c r="D29" s="2"/>
      <c r="E29" s="187"/>
      <c r="F29" s="2"/>
      <c r="G29" s="30"/>
      <c r="H29" s="31"/>
      <c r="I29" s="2"/>
      <c r="J29" s="2">
        <f t="shared" si="8"/>
        <v>8301</v>
      </c>
      <c r="K29" s="30"/>
      <c r="L29" s="31"/>
      <c r="M29" s="3"/>
      <c r="N29" s="3"/>
      <c r="O29" s="3">
        <f t="shared" si="9"/>
        <v>9584.6195825164341</v>
      </c>
      <c r="P29" s="31">
        <v>120</v>
      </c>
      <c r="Q29" s="75">
        <f t="shared" si="10"/>
        <v>2</v>
      </c>
      <c r="R29" s="52" t="s">
        <v>50</v>
      </c>
      <c r="S29" s="31"/>
      <c r="T29" s="31" t="s">
        <v>60</v>
      </c>
      <c r="U29" s="31" t="s">
        <v>91</v>
      </c>
      <c r="V29" s="8"/>
    </row>
    <row r="30" spans="2:35" ht="30" customHeight="1" x14ac:dyDescent="0.3">
      <c r="B30" s="20">
        <f t="shared" si="11"/>
        <v>8</v>
      </c>
      <c r="C30" s="48" t="s">
        <v>24</v>
      </c>
      <c r="D30" s="2"/>
      <c r="E30" s="187"/>
      <c r="F30" s="2"/>
      <c r="G30" s="30"/>
      <c r="H30" s="31"/>
      <c r="I30" s="2"/>
      <c r="J30" s="2">
        <f t="shared" si="8"/>
        <v>8301</v>
      </c>
      <c r="K30" s="30"/>
      <c r="L30" s="31"/>
      <c r="M30" s="3"/>
      <c r="N30" s="3"/>
      <c r="O30" s="3">
        <f t="shared" si="9"/>
        <v>9584.6195825164341</v>
      </c>
      <c r="P30" s="31">
        <v>120</v>
      </c>
      <c r="Q30" s="75">
        <f t="shared" si="10"/>
        <v>2</v>
      </c>
      <c r="R30" s="52" t="s">
        <v>50</v>
      </c>
      <c r="S30" s="31"/>
      <c r="T30" s="31" t="s">
        <v>60</v>
      </c>
      <c r="U30" s="31" t="s">
        <v>54</v>
      </c>
      <c r="V30" s="8"/>
      <c r="X30" s="5" t="s">
        <v>77</v>
      </c>
      <c r="Y30" s="505" t="s">
        <v>416</v>
      </c>
      <c r="Z30" s="506"/>
      <c r="AA30" s="507"/>
    </row>
    <row r="31" spans="2:35" ht="30" customHeight="1" x14ac:dyDescent="0.3">
      <c r="B31" s="20">
        <f t="shared" si="11"/>
        <v>9</v>
      </c>
      <c r="C31" s="48" t="s">
        <v>100</v>
      </c>
      <c r="D31" s="2"/>
      <c r="E31" s="187"/>
      <c r="F31" s="2"/>
      <c r="G31" s="30"/>
      <c r="H31" s="31"/>
      <c r="I31" s="2"/>
      <c r="J31" s="2">
        <f t="shared" si="8"/>
        <v>8301</v>
      </c>
      <c r="K31" s="30"/>
      <c r="L31" s="31"/>
      <c r="M31" s="3"/>
      <c r="N31" s="3"/>
      <c r="O31" s="3">
        <f t="shared" si="9"/>
        <v>9584.6195825164341</v>
      </c>
      <c r="P31" s="31">
        <v>120</v>
      </c>
      <c r="Q31" s="75">
        <f t="shared" si="10"/>
        <v>2</v>
      </c>
      <c r="R31" s="52" t="s">
        <v>50</v>
      </c>
      <c r="S31" s="31"/>
      <c r="T31" s="31" t="s">
        <v>61</v>
      </c>
      <c r="U31" s="31" t="s">
        <v>18</v>
      </c>
      <c r="V31" s="8"/>
      <c r="X31" s="7" t="s">
        <v>1</v>
      </c>
      <c r="Y31" s="508" t="s">
        <v>412</v>
      </c>
      <c r="Z31" s="509"/>
      <c r="AA31" s="510"/>
    </row>
    <row r="32" spans="2:35" s="13" customFormat="1" ht="38.25" customHeight="1" x14ac:dyDescent="0.3">
      <c r="B32" s="20">
        <f t="shared" si="11"/>
        <v>10</v>
      </c>
      <c r="C32" s="190" t="s">
        <v>304</v>
      </c>
      <c r="D32" s="2"/>
      <c r="E32" s="187"/>
      <c r="F32" s="2"/>
      <c r="G32" s="30"/>
      <c r="H32" s="31"/>
      <c r="I32" s="2">
        <v>2000</v>
      </c>
      <c r="J32" s="2">
        <f t="shared" si="8"/>
        <v>6301</v>
      </c>
      <c r="K32" s="30"/>
      <c r="L32" s="31">
        <v>1</v>
      </c>
      <c r="M32" s="3"/>
      <c r="N32" s="3">
        <f>I32/L32</f>
        <v>2000</v>
      </c>
      <c r="O32" s="3">
        <f t="shared" si="9"/>
        <v>7584.6195825164341</v>
      </c>
      <c r="P32" s="31">
        <v>120</v>
      </c>
      <c r="Q32" s="75">
        <f t="shared" si="10"/>
        <v>2</v>
      </c>
      <c r="R32" s="52" t="s">
        <v>50</v>
      </c>
      <c r="S32" s="31"/>
      <c r="T32" s="31" t="s">
        <v>101</v>
      </c>
      <c r="U32" s="31" t="s">
        <v>251</v>
      </c>
      <c r="V32" s="8"/>
      <c r="X32" s="7" t="s">
        <v>78</v>
      </c>
      <c r="Y32" s="511">
        <f>Q72</f>
        <v>171</v>
      </c>
      <c r="Z32" s="512"/>
      <c r="AA32" s="513"/>
      <c r="AB32"/>
      <c r="AC32"/>
      <c r="AD32"/>
      <c r="AE32"/>
      <c r="AF32"/>
      <c r="AG32"/>
      <c r="AH32"/>
      <c r="AI32"/>
    </row>
    <row r="33" spans="2:27" ht="30" customHeight="1" x14ac:dyDescent="0.3">
      <c r="B33" s="20">
        <f t="shared" si="11"/>
        <v>11</v>
      </c>
      <c r="C33" s="48" t="s">
        <v>25</v>
      </c>
      <c r="D33" s="2" t="s">
        <v>135</v>
      </c>
      <c r="E33" s="187">
        <v>18</v>
      </c>
      <c r="F33" s="2"/>
      <c r="G33" s="30"/>
      <c r="H33" s="31">
        <v>500</v>
      </c>
      <c r="I33" s="2"/>
      <c r="J33" s="2">
        <f t="shared" si="8"/>
        <v>6801</v>
      </c>
      <c r="K33" s="30"/>
      <c r="L33" s="31">
        <v>1</v>
      </c>
      <c r="M33" s="3">
        <f t="shared" ref="M33" si="12">H33/L33</f>
        <v>500</v>
      </c>
      <c r="N33" s="3"/>
      <c r="O33" s="3">
        <f t="shared" si="9"/>
        <v>8084.6195825164341</v>
      </c>
      <c r="P33" s="31">
        <v>90</v>
      </c>
      <c r="Q33" s="75">
        <f t="shared" si="10"/>
        <v>1.5</v>
      </c>
      <c r="R33" s="52" t="s">
        <v>50</v>
      </c>
      <c r="S33" s="31"/>
      <c r="T33" s="31" t="s">
        <v>102</v>
      </c>
      <c r="U33" s="31" t="s">
        <v>251</v>
      </c>
      <c r="V33" s="8"/>
      <c r="X33" s="7" t="s">
        <v>79</v>
      </c>
      <c r="Y33" s="511" t="s">
        <v>92</v>
      </c>
      <c r="Z33" s="512"/>
      <c r="AA33" s="513"/>
    </row>
    <row r="34" spans="2:27" ht="30" customHeight="1" x14ac:dyDescent="0.3">
      <c r="B34" s="20">
        <f t="shared" si="11"/>
        <v>12</v>
      </c>
      <c r="C34" s="48" t="s">
        <v>26</v>
      </c>
      <c r="D34" s="2"/>
      <c r="E34" s="187"/>
      <c r="F34" s="2"/>
      <c r="G34" s="30"/>
      <c r="H34" s="31"/>
      <c r="I34" s="2"/>
      <c r="J34" s="2">
        <f t="shared" si="8"/>
        <v>6801</v>
      </c>
      <c r="K34" s="30"/>
      <c r="L34" s="31"/>
      <c r="M34" s="3"/>
      <c r="N34" s="3"/>
      <c r="O34" s="3">
        <f t="shared" si="9"/>
        <v>8084.6195825164341</v>
      </c>
      <c r="P34" s="31">
        <v>30</v>
      </c>
      <c r="Q34" s="75">
        <f t="shared" si="10"/>
        <v>0.5</v>
      </c>
      <c r="R34" s="52" t="s">
        <v>50</v>
      </c>
      <c r="S34" s="31"/>
      <c r="T34" s="31" t="str">
        <f>T33</f>
        <v>35- 40 deg c</v>
      </c>
      <c r="U34" s="31" t="s">
        <v>251</v>
      </c>
      <c r="V34" s="8"/>
      <c r="X34" s="7" t="s">
        <v>80</v>
      </c>
      <c r="Y34" s="502" t="s">
        <v>288</v>
      </c>
      <c r="Z34" s="503"/>
      <c r="AA34" s="504"/>
    </row>
    <row r="35" spans="2:27" ht="30" customHeight="1" x14ac:dyDescent="0.3">
      <c r="B35" s="20">
        <f t="shared" si="11"/>
        <v>13</v>
      </c>
      <c r="C35" s="190" t="s">
        <v>306</v>
      </c>
      <c r="D35" s="2"/>
      <c r="E35" s="187"/>
      <c r="F35" s="2"/>
      <c r="G35" s="30"/>
      <c r="H35" s="31"/>
      <c r="I35" s="2">
        <v>600</v>
      </c>
      <c r="J35" s="2">
        <f t="shared" si="8"/>
        <v>6201</v>
      </c>
      <c r="K35" s="30"/>
      <c r="L35" s="31">
        <v>0.9</v>
      </c>
      <c r="M35" s="3"/>
      <c r="N35" s="3">
        <f>I35/L35</f>
        <v>666.66666666666663</v>
      </c>
      <c r="O35" s="3">
        <f t="shared" si="9"/>
        <v>7417.9529158497671</v>
      </c>
      <c r="P35" s="31">
        <v>60</v>
      </c>
      <c r="Q35" s="75">
        <f t="shared" si="10"/>
        <v>1</v>
      </c>
      <c r="R35" s="52" t="s">
        <v>50</v>
      </c>
      <c r="S35" s="31"/>
      <c r="T35" s="31" t="str">
        <f>T34</f>
        <v>35- 40 deg c</v>
      </c>
      <c r="U35" s="31" t="s">
        <v>251</v>
      </c>
      <c r="V35" s="8"/>
      <c r="X35" s="7" t="s">
        <v>81</v>
      </c>
      <c r="Y35" s="508" t="s">
        <v>71</v>
      </c>
      <c r="Z35" s="509"/>
      <c r="AA35" s="510"/>
    </row>
    <row r="36" spans="2:27" ht="30" customHeight="1" x14ac:dyDescent="0.3">
      <c r="B36" s="20">
        <f t="shared" si="11"/>
        <v>14</v>
      </c>
      <c r="C36" s="48" t="s">
        <v>103</v>
      </c>
      <c r="D36" s="2" t="s">
        <v>136</v>
      </c>
      <c r="E36" s="188" t="s">
        <v>249</v>
      </c>
      <c r="F36" s="2"/>
      <c r="G36" s="30"/>
      <c r="H36" s="31">
        <v>1250</v>
      </c>
      <c r="I36" s="2"/>
      <c r="J36" s="2">
        <f t="shared" si="8"/>
        <v>7451</v>
      </c>
      <c r="K36" s="30"/>
      <c r="L36" s="31">
        <v>1.05</v>
      </c>
      <c r="M36" s="3">
        <f t="shared" ref="M36" si="13">H36/L36</f>
        <v>1190.4761904761904</v>
      </c>
      <c r="N36" s="3"/>
      <c r="O36" s="3">
        <f t="shared" si="9"/>
        <v>8608.429106325957</v>
      </c>
      <c r="P36" s="31">
        <v>90</v>
      </c>
      <c r="Q36" s="75">
        <f t="shared" si="10"/>
        <v>1.5</v>
      </c>
      <c r="R36" s="52" t="s">
        <v>50</v>
      </c>
      <c r="S36" s="31"/>
      <c r="T36" s="31" t="str">
        <f t="shared" ref="T36:T37" si="14">T35</f>
        <v>35- 40 deg c</v>
      </c>
      <c r="U36" s="31" t="s">
        <v>252</v>
      </c>
      <c r="V36" s="8"/>
      <c r="X36" s="7" t="s">
        <v>10</v>
      </c>
      <c r="Y36" s="508" t="s">
        <v>151</v>
      </c>
      <c r="Z36" s="509"/>
      <c r="AA36" s="510"/>
    </row>
    <row r="37" spans="2:27" ht="30" customHeight="1" x14ac:dyDescent="0.3">
      <c r="B37" s="20">
        <f t="shared" si="11"/>
        <v>15</v>
      </c>
      <c r="C37" s="48" t="s">
        <v>27</v>
      </c>
      <c r="D37" s="2"/>
      <c r="E37" s="187"/>
      <c r="F37" s="2"/>
      <c r="G37" s="30"/>
      <c r="H37" s="31"/>
      <c r="I37" s="2">
        <v>1300</v>
      </c>
      <c r="J37" s="2">
        <f t="shared" si="8"/>
        <v>6151</v>
      </c>
      <c r="K37" s="30"/>
      <c r="L37" s="31">
        <v>0.9</v>
      </c>
      <c r="M37" s="3"/>
      <c r="N37" s="3">
        <f>I37/L37</f>
        <v>1444.4444444444443</v>
      </c>
      <c r="O37" s="3">
        <f t="shared" si="9"/>
        <v>7163.9846618815127</v>
      </c>
      <c r="P37" s="31">
        <v>90</v>
      </c>
      <c r="Q37" s="75">
        <f t="shared" si="10"/>
        <v>1.5</v>
      </c>
      <c r="R37" s="52" t="s">
        <v>50</v>
      </c>
      <c r="S37" s="31"/>
      <c r="T37" s="31" t="str">
        <f t="shared" si="14"/>
        <v>35- 40 deg c</v>
      </c>
      <c r="U37" s="31" t="s">
        <v>252</v>
      </c>
      <c r="V37" s="8"/>
      <c r="X37" s="7" t="s">
        <v>82</v>
      </c>
      <c r="Y37" s="508" t="s">
        <v>154</v>
      </c>
      <c r="Z37" s="509"/>
      <c r="AA37" s="510"/>
    </row>
    <row r="38" spans="2:27" ht="30" customHeight="1" x14ac:dyDescent="0.3">
      <c r="B38" s="20">
        <f t="shared" si="11"/>
        <v>16</v>
      </c>
      <c r="C38" s="48" t="s">
        <v>28</v>
      </c>
      <c r="D38" s="2" t="s">
        <v>135</v>
      </c>
      <c r="E38" s="187">
        <v>18</v>
      </c>
      <c r="F38" s="2"/>
      <c r="G38" s="30"/>
      <c r="H38" s="31">
        <v>1500</v>
      </c>
      <c r="I38" s="2"/>
      <c r="J38" s="2">
        <f t="shared" si="8"/>
        <v>7651</v>
      </c>
      <c r="K38" s="30"/>
      <c r="L38" s="31">
        <v>1</v>
      </c>
      <c r="M38" s="3">
        <f t="shared" ref="M38" si="15">H38/L38</f>
        <v>1500</v>
      </c>
      <c r="N38" s="3"/>
      <c r="O38" s="3">
        <f t="shared" si="9"/>
        <v>8663.9846618815136</v>
      </c>
      <c r="P38" s="31">
        <v>90</v>
      </c>
      <c r="Q38" s="75">
        <f t="shared" si="10"/>
        <v>1.5</v>
      </c>
      <c r="R38" s="52" t="s">
        <v>50</v>
      </c>
      <c r="S38" s="31"/>
      <c r="T38" s="31" t="str">
        <f>T37</f>
        <v>35- 40 deg c</v>
      </c>
      <c r="U38" s="31" t="s">
        <v>252</v>
      </c>
      <c r="V38" s="8"/>
      <c r="X38" s="7" t="s">
        <v>83</v>
      </c>
      <c r="Y38" s="502">
        <v>92</v>
      </c>
      <c r="Z38" s="503"/>
      <c r="AA38" s="504"/>
    </row>
    <row r="39" spans="2:27" ht="30" customHeight="1" x14ac:dyDescent="0.3">
      <c r="B39" s="20">
        <f t="shared" si="11"/>
        <v>17</v>
      </c>
      <c r="C39" s="48" t="s">
        <v>29</v>
      </c>
      <c r="D39" s="2"/>
      <c r="E39" s="187"/>
      <c r="F39" s="2"/>
      <c r="G39" s="30"/>
      <c r="H39" s="31"/>
      <c r="I39" s="2">
        <v>1700</v>
      </c>
      <c r="J39" s="2">
        <f>J38+H39-I39</f>
        <v>5951</v>
      </c>
      <c r="K39" s="30"/>
      <c r="L39" s="31">
        <v>0.9</v>
      </c>
      <c r="M39" s="3"/>
      <c r="N39" s="3">
        <f>I39/L39</f>
        <v>1888.8888888888889</v>
      </c>
      <c r="O39" s="3">
        <f t="shared" si="9"/>
        <v>6775.0957729926249</v>
      </c>
      <c r="P39" s="31">
        <v>90</v>
      </c>
      <c r="Q39" s="75">
        <f t="shared" si="10"/>
        <v>1.5</v>
      </c>
      <c r="R39" s="52" t="s">
        <v>50</v>
      </c>
      <c r="S39" s="31"/>
      <c r="T39" s="31" t="str">
        <f>T38</f>
        <v>35- 40 deg c</v>
      </c>
      <c r="U39" s="31" t="s">
        <v>252</v>
      </c>
      <c r="V39" s="8"/>
      <c r="X39" s="7" t="s">
        <v>84</v>
      </c>
      <c r="Y39" s="502" t="s">
        <v>413</v>
      </c>
      <c r="Z39" s="503"/>
      <c r="AA39" s="504"/>
    </row>
    <row r="40" spans="2:27" ht="41.25" customHeight="1" x14ac:dyDescent="0.3">
      <c r="B40" s="20">
        <f t="shared" si="11"/>
        <v>18</v>
      </c>
      <c r="C40" s="48" t="s">
        <v>307</v>
      </c>
      <c r="D40" s="31" t="s">
        <v>142</v>
      </c>
      <c r="E40" s="188" t="s">
        <v>249</v>
      </c>
      <c r="F40" s="2"/>
      <c r="G40" s="30"/>
      <c r="H40" s="31">
        <v>1510</v>
      </c>
      <c r="I40" s="2"/>
      <c r="J40" s="2">
        <f t="shared" si="8"/>
        <v>7461</v>
      </c>
      <c r="K40" s="30"/>
      <c r="L40" s="31">
        <v>1</v>
      </c>
      <c r="M40" s="3">
        <f t="shared" ref="M40" si="16">H40/L40</f>
        <v>1510</v>
      </c>
      <c r="N40" s="3"/>
      <c r="O40" s="3">
        <f t="shared" si="9"/>
        <v>8285.0957729926249</v>
      </c>
      <c r="P40" s="31">
        <v>90</v>
      </c>
      <c r="Q40" s="75">
        <f t="shared" si="10"/>
        <v>1.5</v>
      </c>
      <c r="R40" s="52" t="s">
        <v>50</v>
      </c>
      <c r="S40" s="31"/>
      <c r="T40" s="31" t="str">
        <f>T39</f>
        <v>35- 40 deg c</v>
      </c>
      <c r="U40" s="31" t="s">
        <v>252</v>
      </c>
      <c r="V40" s="8"/>
      <c r="X40" s="7" t="s">
        <v>85</v>
      </c>
      <c r="Y40" s="496" t="s">
        <v>414</v>
      </c>
      <c r="Z40" s="497"/>
      <c r="AA40" s="498"/>
    </row>
    <row r="41" spans="2:27" ht="30" customHeight="1" x14ac:dyDescent="0.3">
      <c r="B41" s="20">
        <f t="shared" si="11"/>
        <v>19</v>
      </c>
      <c r="C41" s="48" t="s">
        <v>30</v>
      </c>
      <c r="D41" s="2"/>
      <c r="E41" s="187"/>
      <c r="F41" s="2"/>
      <c r="G41" s="30"/>
      <c r="H41" s="31"/>
      <c r="I41" s="2">
        <v>1610</v>
      </c>
      <c r="J41" s="2">
        <f t="shared" si="8"/>
        <v>5851</v>
      </c>
      <c r="K41" s="30"/>
      <c r="L41" s="31">
        <v>0.9</v>
      </c>
      <c r="M41" s="3"/>
      <c r="N41" s="161">
        <f>I41/L41</f>
        <v>1788.8888888888889</v>
      </c>
      <c r="O41" s="3">
        <f t="shared" si="9"/>
        <v>6496.2068841037362</v>
      </c>
      <c r="P41" s="31">
        <v>90</v>
      </c>
      <c r="Q41" s="75">
        <f t="shared" si="10"/>
        <v>1.5</v>
      </c>
      <c r="R41" s="52" t="s">
        <v>50</v>
      </c>
      <c r="S41" s="31"/>
      <c r="T41" s="31" t="s">
        <v>51</v>
      </c>
      <c r="U41" s="31" t="s">
        <v>252</v>
      </c>
      <c r="V41" s="8"/>
      <c r="X41" s="97" t="s">
        <v>86</v>
      </c>
      <c r="Y41" s="502" t="s">
        <v>289</v>
      </c>
      <c r="Z41" s="503"/>
      <c r="AA41" s="504"/>
    </row>
    <row r="42" spans="2:27" ht="30" customHeight="1" x14ac:dyDescent="0.3">
      <c r="B42" s="20">
        <f t="shared" si="11"/>
        <v>20</v>
      </c>
      <c r="C42" s="48" t="s">
        <v>31</v>
      </c>
      <c r="D42" s="2"/>
      <c r="E42" s="187"/>
      <c r="F42" s="2"/>
      <c r="G42" s="30"/>
      <c r="H42" s="31"/>
      <c r="I42" s="2">
        <v>2000</v>
      </c>
      <c r="J42" s="2">
        <f t="shared" si="8"/>
        <v>3851</v>
      </c>
      <c r="K42" s="30"/>
      <c r="L42" s="31">
        <v>0.65</v>
      </c>
      <c r="M42" s="3"/>
      <c r="N42" s="3">
        <f>I42/L42</f>
        <v>3076.9230769230767</v>
      </c>
      <c r="O42" s="3">
        <f t="shared" si="9"/>
        <v>3419.2838071806596</v>
      </c>
      <c r="P42" s="31">
        <v>360</v>
      </c>
      <c r="Q42" s="75">
        <f t="shared" si="10"/>
        <v>6</v>
      </c>
      <c r="R42" s="52" t="s">
        <v>50</v>
      </c>
      <c r="S42" s="31"/>
      <c r="T42" s="31" t="s">
        <v>55</v>
      </c>
      <c r="U42" s="31" t="s">
        <v>251</v>
      </c>
      <c r="V42" s="8"/>
      <c r="X42" s="7" t="s">
        <v>87</v>
      </c>
      <c r="Y42" s="496" t="s">
        <v>415</v>
      </c>
      <c r="Z42" s="497"/>
      <c r="AA42" s="498"/>
    </row>
    <row r="43" spans="2:27" ht="30" customHeight="1" x14ac:dyDescent="0.3">
      <c r="B43" s="20">
        <f t="shared" si="11"/>
        <v>21</v>
      </c>
      <c r="C43" s="48" t="s">
        <v>19</v>
      </c>
      <c r="D43" s="2"/>
      <c r="E43" s="187"/>
      <c r="F43" s="2"/>
      <c r="G43" s="30"/>
      <c r="H43" s="31"/>
      <c r="I43" s="2"/>
      <c r="J43" s="2">
        <f t="shared" si="8"/>
        <v>3851</v>
      </c>
      <c r="K43" s="30"/>
      <c r="L43" s="31"/>
      <c r="M43" s="3"/>
      <c r="N43" s="3"/>
      <c r="O43" s="3">
        <f t="shared" si="9"/>
        <v>3419.2838071806596</v>
      </c>
      <c r="P43" s="31">
        <v>120</v>
      </c>
      <c r="Q43" s="75">
        <f t="shared" si="10"/>
        <v>2</v>
      </c>
      <c r="R43" s="31" t="s">
        <v>104</v>
      </c>
      <c r="S43" s="31" t="s">
        <v>15</v>
      </c>
      <c r="T43" s="31" t="s">
        <v>55</v>
      </c>
      <c r="U43" s="31" t="s">
        <v>251</v>
      </c>
      <c r="V43" s="8"/>
      <c r="X43" s="7" t="s">
        <v>88</v>
      </c>
      <c r="Y43" s="496" t="s">
        <v>95</v>
      </c>
      <c r="Z43" s="497"/>
      <c r="AA43" s="498"/>
    </row>
    <row r="44" spans="2:27" ht="30" customHeight="1" thickBot="1" x14ac:dyDescent="0.35">
      <c r="B44" s="20">
        <f t="shared" si="11"/>
        <v>22</v>
      </c>
      <c r="C44" s="48" t="s">
        <v>41</v>
      </c>
      <c r="D44" s="2"/>
      <c r="E44" s="187"/>
      <c r="F44" s="2"/>
      <c r="G44" s="30"/>
      <c r="H44" s="31"/>
      <c r="I44" s="2">
        <v>1100</v>
      </c>
      <c r="J44" s="2">
        <f t="shared" si="8"/>
        <v>2751</v>
      </c>
      <c r="K44" s="30"/>
      <c r="L44" s="31">
        <v>0.65</v>
      </c>
      <c r="M44" s="3"/>
      <c r="N44" s="3">
        <f>I44/L44</f>
        <v>1692.3076923076922</v>
      </c>
      <c r="O44" s="3">
        <f t="shared" si="9"/>
        <v>1726.9761148729674</v>
      </c>
      <c r="P44" s="31">
        <v>360</v>
      </c>
      <c r="Q44" s="75">
        <f t="shared" si="10"/>
        <v>6</v>
      </c>
      <c r="R44" s="31" t="s">
        <v>104</v>
      </c>
      <c r="S44" s="31" t="s">
        <v>15</v>
      </c>
      <c r="T44" s="31" t="s">
        <v>55</v>
      </c>
      <c r="U44" s="31" t="s">
        <v>251</v>
      </c>
      <c r="V44" s="8"/>
      <c r="X44" s="10" t="s">
        <v>153</v>
      </c>
      <c r="Y44" s="499" t="s">
        <v>291</v>
      </c>
      <c r="Z44" s="500"/>
      <c r="AA44" s="501"/>
    </row>
    <row r="45" spans="2:27" ht="30" customHeight="1" x14ac:dyDescent="0.3">
      <c r="B45" s="20">
        <f t="shared" si="11"/>
        <v>23</v>
      </c>
      <c r="C45" s="48" t="s">
        <v>46</v>
      </c>
      <c r="D45" s="2" t="s">
        <v>137</v>
      </c>
      <c r="E45" s="188" t="s">
        <v>249</v>
      </c>
      <c r="F45" s="2"/>
      <c r="G45" s="30"/>
      <c r="H45" s="31">
        <v>2000</v>
      </c>
      <c r="I45" s="2"/>
      <c r="J45" s="2">
        <f t="shared" si="8"/>
        <v>4751</v>
      </c>
      <c r="K45" s="30"/>
      <c r="L45" s="31">
        <v>0.78</v>
      </c>
      <c r="M45" s="3">
        <f t="shared" ref="M45" si="17">H45/L45</f>
        <v>2564.102564102564</v>
      </c>
      <c r="N45" s="3"/>
      <c r="O45" s="3">
        <f>O44+M45-N45</f>
        <v>4291.0786789755311</v>
      </c>
      <c r="P45" s="31">
        <v>120</v>
      </c>
      <c r="Q45" s="75">
        <f t="shared" si="10"/>
        <v>2</v>
      </c>
      <c r="R45" s="52" t="s">
        <v>50</v>
      </c>
      <c r="S45" s="31"/>
      <c r="T45" s="287" t="s">
        <v>55</v>
      </c>
      <c r="U45" s="287" t="s">
        <v>49</v>
      </c>
      <c r="V45" s="8"/>
    </row>
    <row r="46" spans="2:27" ht="30" customHeight="1" thickBot="1" x14ac:dyDescent="0.35">
      <c r="B46" s="20">
        <f t="shared" si="11"/>
        <v>24</v>
      </c>
      <c r="C46" s="48" t="s">
        <v>32</v>
      </c>
      <c r="D46" s="2"/>
      <c r="E46" s="187"/>
      <c r="F46" s="2"/>
      <c r="G46" s="30"/>
      <c r="H46" s="31"/>
      <c r="I46" s="2"/>
      <c r="J46" s="2">
        <f t="shared" si="8"/>
        <v>4751</v>
      </c>
      <c r="K46" s="30"/>
      <c r="L46" s="31"/>
      <c r="M46" s="3"/>
      <c r="N46" s="3"/>
      <c r="O46" s="3">
        <f t="shared" si="9"/>
        <v>4291.0786789755311</v>
      </c>
      <c r="P46" s="31">
        <v>120</v>
      </c>
      <c r="Q46" s="75">
        <f t="shared" si="10"/>
        <v>2</v>
      </c>
      <c r="R46" s="52" t="s">
        <v>50</v>
      </c>
      <c r="S46" s="31"/>
      <c r="T46" s="31" t="s">
        <v>62</v>
      </c>
      <c r="U46" s="31" t="s">
        <v>22</v>
      </c>
      <c r="V46" s="8"/>
    </row>
    <row r="47" spans="2:27" ht="39.75" customHeight="1" x14ac:dyDescent="0.3">
      <c r="B47" s="20">
        <f t="shared" si="11"/>
        <v>25</v>
      </c>
      <c r="C47" s="48" t="s">
        <v>105</v>
      </c>
      <c r="D47" s="31" t="s">
        <v>143</v>
      </c>
      <c r="E47" s="188" t="s">
        <v>249</v>
      </c>
      <c r="F47" s="2"/>
      <c r="G47" s="30"/>
      <c r="H47" s="31">
        <v>85</v>
      </c>
      <c r="I47" s="2"/>
      <c r="J47" s="2">
        <f t="shared" si="8"/>
        <v>4836</v>
      </c>
      <c r="K47" s="30"/>
      <c r="L47" s="31">
        <v>1</v>
      </c>
      <c r="M47" s="3">
        <f>H47/L47</f>
        <v>85</v>
      </c>
      <c r="N47" s="3"/>
      <c r="O47" s="3">
        <f t="shared" si="9"/>
        <v>4376.0786789755311</v>
      </c>
      <c r="P47" s="73">
        <v>30</v>
      </c>
      <c r="Q47" s="191">
        <f t="shared" si="10"/>
        <v>0.5</v>
      </c>
      <c r="R47" s="192" t="s">
        <v>253</v>
      </c>
      <c r="S47" s="73" t="s">
        <v>15</v>
      </c>
      <c r="T47" s="73" t="s">
        <v>62</v>
      </c>
      <c r="U47" s="73" t="s">
        <v>254</v>
      </c>
      <c r="V47" s="8"/>
      <c r="X47" s="135" t="s">
        <v>188</v>
      </c>
      <c r="Y47" s="493" t="s">
        <v>416</v>
      </c>
      <c r="Z47" s="494"/>
      <c r="AA47" s="495"/>
    </row>
    <row r="48" spans="2:27" ht="30" customHeight="1" x14ac:dyDescent="0.3">
      <c r="B48" s="20">
        <f t="shared" si="11"/>
        <v>26</v>
      </c>
      <c r="C48" s="48" t="s">
        <v>74</v>
      </c>
      <c r="D48" s="31" t="s">
        <v>144</v>
      </c>
      <c r="E48" s="188" t="s">
        <v>249</v>
      </c>
      <c r="F48" s="2"/>
      <c r="G48" s="30"/>
      <c r="H48" s="31">
        <v>5</v>
      </c>
      <c r="I48" s="2"/>
      <c r="J48" s="2">
        <f t="shared" si="8"/>
        <v>4841</v>
      </c>
      <c r="K48" s="30"/>
      <c r="L48" s="31">
        <v>2.1</v>
      </c>
      <c r="M48" s="3">
        <f t="shared" ref="M48" si="18">H48/L48</f>
        <v>2.3809523809523809</v>
      </c>
      <c r="N48" s="3"/>
      <c r="O48" s="3">
        <f t="shared" si="9"/>
        <v>4378.4596313564834</v>
      </c>
      <c r="P48" s="31">
        <v>30</v>
      </c>
      <c r="Q48" s="75">
        <f t="shared" si="10"/>
        <v>0.5</v>
      </c>
      <c r="R48" s="52" t="s">
        <v>50</v>
      </c>
      <c r="S48" s="31"/>
      <c r="T48" s="31" t="s">
        <v>62</v>
      </c>
      <c r="U48" s="31" t="s">
        <v>53</v>
      </c>
      <c r="V48" s="8"/>
      <c r="X48" s="136" t="s">
        <v>189</v>
      </c>
      <c r="Y48" s="487" t="s">
        <v>49</v>
      </c>
      <c r="Z48" s="488"/>
      <c r="AA48" s="489"/>
    </row>
    <row r="49" spans="2:27" ht="30" customHeight="1" x14ac:dyDescent="0.3">
      <c r="B49" s="20">
        <f t="shared" si="11"/>
        <v>27</v>
      </c>
      <c r="C49" s="48" t="s">
        <v>47</v>
      </c>
      <c r="D49" s="2"/>
      <c r="E49" s="187"/>
      <c r="F49" s="2"/>
      <c r="G49" s="30"/>
      <c r="H49" s="31"/>
      <c r="I49" s="2"/>
      <c r="J49" s="2">
        <f>J48+H49-I49</f>
        <v>4841</v>
      </c>
      <c r="K49" s="30"/>
      <c r="L49" s="31"/>
      <c r="M49" s="3"/>
      <c r="N49" s="3"/>
      <c r="O49" s="3">
        <f t="shared" si="9"/>
        <v>4378.4596313564834</v>
      </c>
      <c r="P49" s="31">
        <v>1440</v>
      </c>
      <c r="Q49" s="191">
        <f t="shared" si="10"/>
        <v>24</v>
      </c>
      <c r="R49" s="52" t="s">
        <v>50</v>
      </c>
      <c r="S49" s="31"/>
      <c r="T49" s="31" t="s">
        <v>64</v>
      </c>
      <c r="U49" s="31" t="s">
        <v>53</v>
      </c>
      <c r="V49" s="8"/>
      <c r="X49" s="136" t="s">
        <v>190</v>
      </c>
      <c r="Y49" s="487">
        <v>20</v>
      </c>
      <c r="Z49" s="488"/>
      <c r="AA49" s="489"/>
    </row>
    <row r="50" spans="2:27" ht="30" customHeight="1" x14ac:dyDescent="0.3">
      <c r="B50" s="20">
        <f t="shared" si="11"/>
        <v>28</v>
      </c>
      <c r="C50" s="48" t="s">
        <v>106</v>
      </c>
      <c r="D50" s="2"/>
      <c r="E50" s="187"/>
      <c r="F50" s="2"/>
      <c r="G50" s="30"/>
      <c r="H50" s="31"/>
      <c r="I50" s="2"/>
      <c r="J50" s="2">
        <f t="shared" si="8"/>
        <v>4841</v>
      </c>
      <c r="K50" s="30"/>
      <c r="L50" s="31"/>
      <c r="M50" s="3"/>
      <c r="N50" s="3"/>
      <c r="O50" s="3">
        <f t="shared" si="9"/>
        <v>4378.4596313564834</v>
      </c>
      <c r="P50" s="31">
        <v>1440</v>
      </c>
      <c r="Q50" s="191">
        <f t="shared" si="10"/>
        <v>24</v>
      </c>
      <c r="R50" s="52" t="s">
        <v>50</v>
      </c>
      <c r="S50" s="31"/>
      <c r="T50" s="31" t="s">
        <v>63</v>
      </c>
      <c r="U50" s="31" t="s">
        <v>53</v>
      </c>
      <c r="V50" s="8"/>
      <c r="X50" s="136" t="s">
        <v>79</v>
      </c>
      <c r="Y50" s="487" t="s">
        <v>287</v>
      </c>
      <c r="Z50" s="488"/>
      <c r="AA50" s="489"/>
    </row>
    <row r="51" spans="2:27" ht="30" customHeight="1" thickBot="1" x14ac:dyDescent="0.35">
      <c r="B51" s="20">
        <f t="shared" si="11"/>
        <v>29</v>
      </c>
      <c r="C51" s="48" t="s">
        <v>107</v>
      </c>
      <c r="D51" s="2"/>
      <c r="E51" s="187"/>
      <c r="F51" s="2"/>
      <c r="G51" s="30"/>
      <c r="H51" s="31"/>
      <c r="I51" s="2"/>
      <c r="J51" s="2">
        <f t="shared" si="8"/>
        <v>4841</v>
      </c>
      <c r="K51" s="30"/>
      <c r="L51" s="31"/>
      <c r="M51" s="3"/>
      <c r="N51" s="3"/>
      <c r="O51" s="3">
        <f t="shared" si="9"/>
        <v>4378.4596313564834</v>
      </c>
      <c r="P51" s="31">
        <v>1440</v>
      </c>
      <c r="Q51" s="191">
        <f t="shared" si="10"/>
        <v>24</v>
      </c>
      <c r="R51" s="52" t="s">
        <v>50</v>
      </c>
      <c r="S51" s="31"/>
      <c r="T51" s="31" t="s">
        <v>65</v>
      </c>
      <c r="U51" s="31" t="s">
        <v>53</v>
      </c>
      <c r="V51" s="8"/>
      <c r="X51" s="137" t="s">
        <v>191</v>
      </c>
      <c r="Y51" s="490" t="s">
        <v>379</v>
      </c>
      <c r="Z51" s="491"/>
      <c r="AA51" s="492"/>
    </row>
    <row r="52" spans="2:27" ht="30" customHeight="1" thickBot="1" x14ac:dyDescent="0.35">
      <c r="B52" s="20">
        <f t="shared" si="11"/>
        <v>30</v>
      </c>
      <c r="C52" s="48" t="s">
        <v>14</v>
      </c>
      <c r="D52" s="2"/>
      <c r="E52" s="187"/>
      <c r="F52" s="2"/>
      <c r="G52" s="30"/>
      <c r="H52" s="31"/>
      <c r="I52" s="2"/>
      <c r="J52" s="2">
        <f t="shared" si="8"/>
        <v>4841</v>
      </c>
      <c r="K52" s="30"/>
      <c r="L52" s="31"/>
      <c r="M52" s="3"/>
      <c r="N52" s="3"/>
      <c r="O52" s="3">
        <f t="shared" si="9"/>
        <v>4378.4596313564834</v>
      </c>
      <c r="P52" s="31">
        <v>120</v>
      </c>
      <c r="Q52" s="75">
        <f t="shared" si="10"/>
        <v>2</v>
      </c>
      <c r="R52" s="52" t="s">
        <v>50</v>
      </c>
      <c r="S52" s="31"/>
      <c r="T52" s="31" t="s">
        <v>65</v>
      </c>
      <c r="U52" s="31" t="s">
        <v>53</v>
      </c>
      <c r="V52" s="8"/>
      <c r="X52" s="289"/>
      <c r="Y52" s="290"/>
      <c r="Z52" s="290"/>
      <c r="AA52" s="291"/>
    </row>
    <row r="53" spans="2:27" ht="60" customHeight="1" x14ac:dyDescent="0.3">
      <c r="B53" s="20">
        <f>1+B52</f>
        <v>31</v>
      </c>
      <c r="C53" s="48" t="s">
        <v>308</v>
      </c>
      <c r="D53" s="2" t="s">
        <v>145</v>
      </c>
      <c r="E53" s="187">
        <v>36.5</v>
      </c>
      <c r="F53" s="2"/>
      <c r="G53" s="30"/>
      <c r="H53" s="31">
        <v>260</v>
      </c>
      <c r="I53" s="2"/>
      <c r="J53" s="2">
        <f t="shared" si="8"/>
        <v>5101</v>
      </c>
      <c r="K53" s="30"/>
      <c r="L53" s="31">
        <v>1.1000000000000001</v>
      </c>
      <c r="M53" s="3">
        <f t="shared" ref="M53:M56" si="19">H53/L53</f>
        <v>236.36363636363635</v>
      </c>
      <c r="N53" s="3"/>
      <c r="O53" s="3">
        <f t="shared" si="9"/>
        <v>4614.8232677201195</v>
      </c>
      <c r="P53" s="31">
        <v>240</v>
      </c>
      <c r="Q53" s="75">
        <f t="shared" si="10"/>
        <v>4</v>
      </c>
      <c r="R53" s="52" t="s">
        <v>50</v>
      </c>
      <c r="S53" s="31"/>
      <c r="T53" s="31" t="s">
        <v>66</v>
      </c>
      <c r="U53" s="31" t="s">
        <v>53</v>
      </c>
      <c r="V53" s="8"/>
      <c r="X53" s="135" t="s">
        <v>192</v>
      </c>
      <c r="Y53" s="493" t="s">
        <v>416</v>
      </c>
      <c r="Z53" s="494"/>
      <c r="AA53" s="495"/>
    </row>
    <row r="54" spans="2:27" ht="54" customHeight="1" x14ac:dyDescent="0.3">
      <c r="B54" s="20">
        <f t="shared" si="11"/>
        <v>32</v>
      </c>
      <c r="C54" s="48" t="s">
        <v>314</v>
      </c>
      <c r="D54" s="2" t="s">
        <v>145</v>
      </c>
      <c r="E54" s="187">
        <v>36.5</v>
      </c>
      <c r="F54" s="2"/>
      <c r="G54" s="30"/>
      <c r="H54" s="31">
        <v>260</v>
      </c>
      <c r="I54" s="2"/>
      <c r="J54" s="2">
        <f t="shared" si="8"/>
        <v>5361</v>
      </c>
      <c r="K54" s="30"/>
      <c r="L54" s="31">
        <v>1.1000000000000001</v>
      </c>
      <c r="M54" s="3">
        <f t="shared" si="19"/>
        <v>236.36363636363635</v>
      </c>
      <c r="N54" s="3"/>
      <c r="O54" s="3">
        <f t="shared" si="9"/>
        <v>4851.1869040837555</v>
      </c>
      <c r="P54" s="31">
        <v>240</v>
      </c>
      <c r="Q54" s="75">
        <f t="shared" si="10"/>
        <v>4</v>
      </c>
      <c r="R54" s="52" t="s">
        <v>50</v>
      </c>
      <c r="S54" s="31"/>
      <c r="T54" s="31" t="s">
        <v>66</v>
      </c>
      <c r="U54" s="31" t="s">
        <v>53</v>
      </c>
      <c r="V54" s="8"/>
      <c r="X54" s="136" t="s">
        <v>189</v>
      </c>
      <c r="Y54" s="487" t="s">
        <v>91</v>
      </c>
      <c r="Z54" s="488"/>
      <c r="AA54" s="489"/>
    </row>
    <row r="55" spans="2:27" ht="39.75" customHeight="1" x14ac:dyDescent="0.3">
      <c r="B55" s="20">
        <f t="shared" si="11"/>
        <v>33</v>
      </c>
      <c r="C55" s="49" t="s">
        <v>33</v>
      </c>
      <c r="D55" s="2" t="s">
        <v>131</v>
      </c>
      <c r="E55" s="188" t="s">
        <v>249</v>
      </c>
      <c r="F55" s="2"/>
      <c r="G55" s="30"/>
      <c r="H55" s="31">
        <v>2800</v>
      </c>
      <c r="I55" s="2"/>
      <c r="J55" s="2">
        <f t="shared" si="8"/>
        <v>8161</v>
      </c>
      <c r="K55" s="30"/>
      <c r="L55" s="31">
        <v>0.65</v>
      </c>
      <c r="M55" s="3">
        <f t="shared" si="19"/>
        <v>4307.6923076923076</v>
      </c>
      <c r="N55" s="3"/>
      <c r="O55" s="3">
        <f t="shared" si="9"/>
        <v>9158.879211776064</v>
      </c>
      <c r="P55" s="31">
        <v>120</v>
      </c>
      <c r="Q55" s="75">
        <f t="shared" si="10"/>
        <v>2</v>
      </c>
      <c r="R55" s="52" t="s">
        <v>50</v>
      </c>
      <c r="S55" s="31"/>
      <c r="T55" s="31" t="s">
        <v>67</v>
      </c>
      <c r="U55" s="31" t="s">
        <v>53</v>
      </c>
      <c r="V55" s="8"/>
      <c r="X55" s="136" t="s">
        <v>190</v>
      </c>
      <c r="Y55" s="487">
        <v>15</v>
      </c>
      <c r="Z55" s="488"/>
      <c r="AA55" s="489"/>
    </row>
    <row r="56" spans="2:27" ht="59.25" customHeight="1" x14ac:dyDescent="0.3">
      <c r="B56" s="20">
        <f t="shared" si="11"/>
        <v>34</v>
      </c>
      <c r="C56" s="48" t="s">
        <v>309</v>
      </c>
      <c r="D56" s="2" t="s">
        <v>145</v>
      </c>
      <c r="E56" s="187">
        <v>36.5</v>
      </c>
      <c r="F56" s="2"/>
      <c r="G56" s="30"/>
      <c r="H56" s="31">
        <v>260</v>
      </c>
      <c r="I56" s="2"/>
      <c r="J56" s="2">
        <f t="shared" si="8"/>
        <v>8421</v>
      </c>
      <c r="K56" s="30"/>
      <c r="L56" s="31">
        <v>1.1000000000000001</v>
      </c>
      <c r="M56" s="3">
        <f t="shared" si="19"/>
        <v>236.36363636363635</v>
      </c>
      <c r="N56" s="3"/>
      <c r="O56" s="3">
        <f t="shared" si="9"/>
        <v>9395.2428481397001</v>
      </c>
      <c r="P56" s="31">
        <v>240</v>
      </c>
      <c r="Q56" s="75">
        <f t="shared" si="10"/>
        <v>4</v>
      </c>
      <c r="R56" s="52" t="s">
        <v>50</v>
      </c>
      <c r="S56" s="31"/>
      <c r="T56" s="31" t="s">
        <v>62</v>
      </c>
      <c r="U56" s="31" t="s">
        <v>53</v>
      </c>
      <c r="V56" s="8"/>
      <c r="X56" s="136" t="s">
        <v>79</v>
      </c>
      <c r="Y56" s="487" t="s">
        <v>287</v>
      </c>
      <c r="Z56" s="488"/>
      <c r="AA56" s="489"/>
    </row>
    <row r="57" spans="2:27" ht="30" customHeight="1" thickBot="1" x14ac:dyDescent="0.35">
      <c r="B57" s="20">
        <f t="shared" si="11"/>
        <v>35</v>
      </c>
      <c r="C57" s="48" t="s">
        <v>34</v>
      </c>
      <c r="D57" s="2"/>
      <c r="E57" s="187"/>
      <c r="F57" s="2"/>
      <c r="G57" s="30"/>
      <c r="H57" s="31"/>
      <c r="I57" s="2"/>
      <c r="J57" s="2">
        <f t="shared" si="8"/>
        <v>8421</v>
      </c>
      <c r="K57" s="30"/>
      <c r="L57" s="31"/>
      <c r="M57" s="3"/>
      <c r="N57" s="3"/>
      <c r="O57" s="3">
        <f t="shared" si="9"/>
        <v>9395.2428481397001</v>
      </c>
      <c r="P57" s="31">
        <v>180</v>
      </c>
      <c r="Q57" s="75">
        <f t="shared" si="10"/>
        <v>3</v>
      </c>
      <c r="R57" s="52" t="s">
        <v>50</v>
      </c>
      <c r="S57" s="31"/>
      <c r="T57" s="31" t="s">
        <v>68</v>
      </c>
      <c r="U57" s="31" t="s">
        <v>52</v>
      </c>
      <c r="V57" s="8"/>
      <c r="X57" s="137" t="s">
        <v>191</v>
      </c>
      <c r="Y57" s="490" t="s">
        <v>379</v>
      </c>
      <c r="Z57" s="491"/>
      <c r="AA57" s="492"/>
    </row>
    <row r="58" spans="2:27" ht="40.5" customHeight="1" x14ac:dyDescent="0.3">
      <c r="B58" s="20">
        <f t="shared" si="11"/>
        <v>36</v>
      </c>
      <c r="C58" s="48" t="s">
        <v>35</v>
      </c>
      <c r="D58" s="2"/>
      <c r="E58" s="187"/>
      <c r="F58" s="2"/>
      <c r="G58" s="30"/>
      <c r="H58" s="31"/>
      <c r="I58" s="2"/>
      <c r="J58" s="2">
        <f t="shared" si="8"/>
        <v>8421</v>
      </c>
      <c r="K58" s="30"/>
      <c r="L58" s="31"/>
      <c r="M58" s="3"/>
      <c r="N58" s="3"/>
      <c r="O58" s="3">
        <f t="shared" si="9"/>
        <v>9395.2428481397001</v>
      </c>
      <c r="P58" s="31">
        <v>60</v>
      </c>
      <c r="Q58" s="75">
        <f t="shared" si="10"/>
        <v>1</v>
      </c>
      <c r="R58" s="52" t="s">
        <v>50</v>
      </c>
      <c r="S58" s="31"/>
      <c r="T58" s="31" t="s">
        <v>68</v>
      </c>
      <c r="U58" s="31" t="s">
        <v>52</v>
      </c>
      <c r="V58" s="8"/>
    </row>
    <row r="59" spans="2:27" ht="30" customHeight="1" x14ac:dyDescent="0.3">
      <c r="B59" s="20">
        <f t="shared" si="11"/>
        <v>37</v>
      </c>
      <c r="C59" s="48" t="s">
        <v>297</v>
      </c>
      <c r="D59" s="2"/>
      <c r="E59" s="187"/>
      <c r="F59" s="2"/>
      <c r="G59" s="30"/>
      <c r="H59" s="31"/>
      <c r="I59" s="2">
        <v>2500</v>
      </c>
      <c r="J59" s="2">
        <f t="shared" si="8"/>
        <v>5921</v>
      </c>
      <c r="K59" s="30"/>
      <c r="L59" s="75">
        <v>0.85</v>
      </c>
      <c r="M59" s="3"/>
      <c r="N59" s="3">
        <f>I59/L59</f>
        <v>2941.1764705882356</v>
      </c>
      <c r="O59" s="3">
        <f t="shared" si="9"/>
        <v>6454.066377551464</v>
      </c>
      <c r="P59" s="31">
        <v>120</v>
      </c>
      <c r="Q59" s="75">
        <f t="shared" si="10"/>
        <v>2</v>
      </c>
      <c r="R59" s="52" t="s">
        <v>50</v>
      </c>
      <c r="S59" s="31"/>
      <c r="T59" s="31" t="s">
        <v>68</v>
      </c>
      <c r="U59" s="31" t="s">
        <v>52</v>
      </c>
      <c r="V59" s="8"/>
    </row>
    <row r="60" spans="2:27" ht="30" customHeight="1" x14ac:dyDescent="0.3">
      <c r="B60" s="20">
        <f t="shared" si="11"/>
        <v>38</v>
      </c>
      <c r="C60" s="48" t="s">
        <v>36</v>
      </c>
      <c r="D60" s="2" t="s">
        <v>135</v>
      </c>
      <c r="E60" s="187">
        <v>18</v>
      </c>
      <c r="F60" s="2"/>
      <c r="G60" s="30"/>
      <c r="H60" s="31">
        <v>500</v>
      </c>
      <c r="I60" s="2"/>
      <c r="J60" s="2">
        <f t="shared" si="8"/>
        <v>6421</v>
      </c>
      <c r="K60" s="30"/>
      <c r="L60" s="31">
        <v>1</v>
      </c>
      <c r="M60" s="3">
        <f t="shared" ref="M60" si="20">H60/L60</f>
        <v>500</v>
      </c>
      <c r="N60" s="3"/>
      <c r="O60" s="3">
        <f t="shared" si="9"/>
        <v>6954.066377551464</v>
      </c>
      <c r="P60" s="31">
        <v>120</v>
      </c>
      <c r="Q60" s="75">
        <f t="shared" si="10"/>
        <v>2</v>
      </c>
      <c r="R60" s="52" t="s">
        <v>50</v>
      </c>
      <c r="S60" s="31"/>
      <c r="T60" s="31" t="s">
        <v>51</v>
      </c>
      <c r="U60" s="31" t="s">
        <v>49</v>
      </c>
      <c r="V60" s="8"/>
    </row>
    <row r="61" spans="2:27" ht="31.2" x14ac:dyDescent="0.3">
      <c r="B61" s="20">
        <f t="shared" si="11"/>
        <v>39</v>
      </c>
      <c r="C61" s="190" t="s">
        <v>37</v>
      </c>
      <c r="D61" s="2"/>
      <c r="E61" s="187"/>
      <c r="F61" s="2"/>
      <c r="G61" s="30"/>
      <c r="H61" s="31"/>
      <c r="I61" s="4">
        <v>800</v>
      </c>
      <c r="J61" s="2">
        <f t="shared" si="8"/>
        <v>5621</v>
      </c>
      <c r="K61" s="30"/>
      <c r="L61" s="75">
        <v>0.95</v>
      </c>
      <c r="M61" s="3"/>
      <c r="N61" s="3">
        <f>I61/L61</f>
        <v>842.1052631578948</v>
      </c>
      <c r="O61" s="3">
        <f t="shared" si="9"/>
        <v>6111.961114393569</v>
      </c>
      <c r="P61" s="31">
        <v>90</v>
      </c>
      <c r="Q61" s="75">
        <f t="shared" si="10"/>
        <v>1.5</v>
      </c>
      <c r="R61" s="52" t="s">
        <v>50</v>
      </c>
      <c r="S61" s="31"/>
      <c r="T61" s="31" t="s">
        <v>51</v>
      </c>
      <c r="U61" s="31" t="s">
        <v>252</v>
      </c>
      <c r="V61" s="77" t="s">
        <v>310</v>
      </c>
    </row>
    <row r="62" spans="2:27" ht="30" customHeight="1" x14ac:dyDescent="0.3">
      <c r="B62" s="20">
        <f t="shared" si="11"/>
        <v>40</v>
      </c>
      <c r="C62" s="48" t="s">
        <v>38</v>
      </c>
      <c r="D62" s="2" t="s">
        <v>135</v>
      </c>
      <c r="E62" s="187">
        <v>18</v>
      </c>
      <c r="F62" s="2"/>
      <c r="G62" s="30"/>
      <c r="H62" s="31">
        <v>1500</v>
      </c>
      <c r="I62" s="2">
        <v>1800</v>
      </c>
      <c r="J62" s="2">
        <f t="shared" si="8"/>
        <v>5321</v>
      </c>
      <c r="K62" s="30"/>
      <c r="L62" s="75">
        <v>1.1299999999999999</v>
      </c>
      <c r="M62" s="3">
        <f t="shared" ref="M62:M67" si="21">H62/L62</f>
        <v>1327.4336283185842</v>
      </c>
      <c r="N62" s="3">
        <f t="shared" ref="N62:N68" si="22">I62/L62</f>
        <v>1592.9203539823011</v>
      </c>
      <c r="O62" s="3">
        <f t="shared" si="9"/>
        <v>5846.4743887298519</v>
      </c>
      <c r="P62" s="31">
        <v>90</v>
      </c>
      <c r="Q62" s="75">
        <f t="shared" si="10"/>
        <v>1.5</v>
      </c>
      <c r="R62" s="52" t="s">
        <v>50</v>
      </c>
      <c r="S62" s="31"/>
      <c r="T62" s="31" t="s">
        <v>51</v>
      </c>
      <c r="U62" s="31" t="s">
        <v>252</v>
      </c>
      <c r="V62" s="77"/>
    </row>
    <row r="63" spans="2:27" ht="30" customHeight="1" x14ac:dyDescent="0.3">
      <c r="B63" s="20">
        <f t="shared" si="11"/>
        <v>41</v>
      </c>
      <c r="C63" s="48" t="s">
        <v>109</v>
      </c>
      <c r="D63" s="2" t="s">
        <v>135</v>
      </c>
      <c r="E63" s="187">
        <v>18</v>
      </c>
      <c r="F63" s="2"/>
      <c r="G63" s="30"/>
      <c r="H63" s="31">
        <v>1500</v>
      </c>
      <c r="I63" s="2"/>
      <c r="J63" s="2">
        <f t="shared" si="8"/>
        <v>6821</v>
      </c>
      <c r="K63" s="30"/>
      <c r="L63" s="31">
        <v>1</v>
      </c>
      <c r="M63" s="3">
        <f t="shared" si="21"/>
        <v>1500</v>
      </c>
      <c r="N63" s="3"/>
      <c r="O63" s="3">
        <f t="shared" si="9"/>
        <v>7346.4743887298519</v>
      </c>
      <c r="P63" s="31">
        <v>90</v>
      </c>
      <c r="Q63" s="75">
        <f t="shared" si="10"/>
        <v>1.5</v>
      </c>
      <c r="R63" s="52" t="s">
        <v>50</v>
      </c>
      <c r="S63" s="31"/>
      <c r="T63" s="31" t="s">
        <v>51</v>
      </c>
      <c r="U63" s="31" t="s">
        <v>252</v>
      </c>
      <c r="V63" s="283" t="s">
        <v>227</v>
      </c>
    </row>
    <row r="64" spans="2:27" ht="30" customHeight="1" x14ac:dyDescent="0.3">
      <c r="B64" s="20">
        <f t="shared" si="11"/>
        <v>42</v>
      </c>
      <c r="C64" s="48" t="s">
        <v>108</v>
      </c>
      <c r="D64" s="2"/>
      <c r="E64" s="187"/>
      <c r="F64" s="2"/>
      <c r="G64" s="30"/>
      <c r="H64" s="31"/>
      <c r="I64" s="2">
        <v>1800</v>
      </c>
      <c r="J64" s="2">
        <f t="shared" si="8"/>
        <v>5021</v>
      </c>
      <c r="K64" s="30"/>
      <c r="L64" s="75">
        <v>1.1299999999999999</v>
      </c>
      <c r="M64" s="3"/>
      <c r="N64" s="3">
        <f t="shared" si="22"/>
        <v>1592.9203539823011</v>
      </c>
      <c r="O64" s="3">
        <f t="shared" si="9"/>
        <v>5753.5540347475508</v>
      </c>
      <c r="P64" s="73">
        <v>60</v>
      </c>
      <c r="Q64" s="191">
        <f t="shared" si="10"/>
        <v>1</v>
      </c>
      <c r="R64" s="192" t="s">
        <v>50</v>
      </c>
      <c r="S64" s="73"/>
      <c r="T64" s="73" t="s">
        <v>255</v>
      </c>
      <c r="U64" s="31" t="s">
        <v>252</v>
      </c>
      <c r="V64" s="8"/>
    </row>
    <row r="65" spans="2:30" ht="30" customHeight="1" x14ac:dyDescent="0.3">
      <c r="B65" s="20">
        <f t="shared" si="11"/>
        <v>43</v>
      </c>
      <c r="C65" s="48" t="s">
        <v>109</v>
      </c>
      <c r="D65" s="2" t="s">
        <v>135</v>
      </c>
      <c r="E65" s="187">
        <v>18</v>
      </c>
      <c r="F65" s="2"/>
      <c r="G65" s="30"/>
      <c r="H65" s="31">
        <v>1500</v>
      </c>
      <c r="I65" s="2"/>
      <c r="J65" s="2">
        <f t="shared" si="8"/>
        <v>6521</v>
      </c>
      <c r="K65" s="30"/>
      <c r="L65" s="31">
        <v>1</v>
      </c>
      <c r="M65" s="3">
        <f t="shared" si="21"/>
        <v>1500</v>
      </c>
      <c r="N65" s="3"/>
      <c r="O65" s="3">
        <f t="shared" si="9"/>
        <v>7253.5540347475508</v>
      </c>
      <c r="P65" s="31">
        <v>90</v>
      </c>
      <c r="Q65" s="75">
        <f>P65/60</f>
        <v>1.5</v>
      </c>
      <c r="R65" s="52" t="s">
        <v>50</v>
      </c>
      <c r="S65" s="31"/>
      <c r="T65" s="31" t="s">
        <v>51</v>
      </c>
      <c r="U65" s="31" t="s">
        <v>252</v>
      </c>
      <c r="V65" s="8"/>
    </row>
    <row r="66" spans="2:30" ht="30" customHeight="1" x14ac:dyDescent="0.3">
      <c r="B66" s="20">
        <f t="shared" si="11"/>
        <v>44</v>
      </c>
      <c r="C66" s="48" t="s">
        <v>108</v>
      </c>
      <c r="D66" s="2"/>
      <c r="E66" s="187"/>
      <c r="F66" s="2"/>
      <c r="G66" s="30"/>
      <c r="H66" s="31"/>
      <c r="I66" s="2">
        <v>1800</v>
      </c>
      <c r="J66" s="2">
        <f t="shared" si="8"/>
        <v>4721</v>
      </c>
      <c r="K66" s="30"/>
      <c r="L66" s="75">
        <v>1.1299999999999999</v>
      </c>
      <c r="M66" s="3"/>
      <c r="N66" s="3">
        <f t="shared" si="22"/>
        <v>1592.9203539823011</v>
      </c>
      <c r="O66" s="3">
        <f t="shared" si="9"/>
        <v>5660.6336807652497</v>
      </c>
      <c r="P66" s="31">
        <v>30</v>
      </c>
      <c r="Q66" s="75">
        <f>P66/60</f>
        <v>0.5</v>
      </c>
      <c r="R66" s="52" t="s">
        <v>50</v>
      </c>
      <c r="S66" s="31"/>
      <c r="T66" s="31" t="s">
        <v>51</v>
      </c>
      <c r="U66" s="31" t="s">
        <v>252</v>
      </c>
      <c r="V66" s="8"/>
    </row>
    <row r="67" spans="2:30" ht="30" customHeight="1" x14ac:dyDescent="0.3">
      <c r="B67" s="20">
        <f t="shared" si="11"/>
        <v>45</v>
      </c>
      <c r="C67" s="48" t="s">
        <v>110</v>
      </c>
      <c r="D67" s="2" t="s">
        <v>146</v>
      </c>
      <c r="E67" s="188" t="s">
        <v>249</v>
      </c>
      <c r="F67" s="2"/>
      <c r="G67" s="30"/>
      <c r="H67" s="31">
        <v>1503</v>
      </c>
      <c r="I67" s="2"/>
      <c r="J67" s="2">
        <f t="shared" si="8"/>
        <v>6224</v>
      </c>
      <c r="K67" s="30"/>
      <c r="L67" s="31">
        <v>1</v>
      </c>
      <c r="M67" s="3">
        <f t="shared" si="21"/>
        <v>1503</v>
      </c>
      <c r="N67" s="3"/>
      <c r="O67" s="3">
        <f t="shared" si="9"/>
        <v>7163.6336807652497</v>
      </c>
      <c r="P67" s="31">
        <v>90</v>
      </c>
      <c r="Q67" s="75">
        <f t="shared" ref="Q67:Q71" si="23">P67/60</f>
        <v>1.5</v>
      </c>
      <c r="R67" s="52" t="s">
        <v>50</v>
      </c>
      <c r="S67" s="31"/>
      <c r="T67" s="31" t="s">
        <v>51</v>
      </c>
      <c r="U67" s="31" t="s">
        <v>252</v>
      </c>
      <c r="V67" s="8"/>
    </row>
    <row r="68" spans="2:30" ht="30" customHeight="1" x14ac:dyDescent="0.3">
      <c r="B68" s="20">
        <f t="shared" si="11"/>
        <v>46</v>
      </c>
      <c r="C68" s="48" t="s">
        <v>39</v>
      </c>
      <c r="D68" s="2"/>
      <c r="E68" s="187"/>
      <c r="F68" s="2"/>
      <c r="G68" s="30"/>
      <c r="H68" s="31"/>
      <c r="I68" s="2">
        <v>1800</v>
      </c>
      <c r="J68" s="2">
        <f t="shared" si="8"/>
        <v>4424</v>
      </c>
      <c r="K68" s="30"/>
      <c r="L68" s="75">
        <v>1.1200000000000001</v>
      </c>
      <c r="M68" s="3"/>
      <c r="N68" s="3">
        <f t="shared" si="22"/>
        <v>1607.1428571428569</v>
      </c>
      <c r="O68" s="3">
        <f t="shared" si="9"/>
        <v>5556.4908236223928</v>
      </c>
      <c r="P68" s="31">
        <v>60</v>
      </c>
      <c r="Q68" s="75">
        <f t="shared" si="23"/>
        <v>1</v>
      </c>
      <c r="R68" s="52" t="s">
        <v>50</v>
      </c>
      <c r="S68" s="31"/>
      <c r="T68" s="31" t="s">
        <v>51</v>
      </c>
      <c r="U68" s="31" t="s">
        <v>252</v>
      </c>
      <c r="V68" s="8"/>
    </row>
    <row r="69" spans="2:30" ht="30" customHeight="1" x14ac:dyDescent="0.3">
      <c r="B69" s="20">
        <f t="shared" si="11"/>
        <v>47</v>
      </c>
      <c r="C69" s="48" t="s">
        <v>311</v>
      </c>
      <c r="D69" s="31" t="s">
        <v>142</v>
      </c>
      <c r="E69" s="188" t="s">
        <v>249</v>
      </c>
      <c r="F69" s="2"/>
      <c r="G69" s="30"/>
      <c r="H69" s="31">
        <v>1510</v>
      </c>
      <c r="I69" s="2"/>
      <c r="J69" s="2">
        <f t="shared" si="8"/>
        <v>5934</v>
      </c>
      <c r="K69" s="30"/>
      <c r="L69" s="31">
        <v>1</v>
      </c>
      <c r="M69" s="3">
        <f t="shared" ref="M69" si="24">H69/L69</f>
        <v>1510</v>
      </c>
      <c r="N69" s="3"/>
      <c r="O69" s="3">
        <f t="shared" si="9"/>
        <v>7066.4908236223928</v>
      </c>
      <c r="P69" s="31">
        <v>90</v>
      </c>
      <c r="Q69" s="75">
        <f t="shared" si="23"/>
        <v>1.5</v>
      </c>
      <c r="R69" s="52" t="s">
        <v>50</v>
      </c>
      <c r="S69" s="31"/>
      <c r="T69" s="31" t="s">
        <v>51</v>
      </c>
      <c r="U69" s="31" t="s">
        <v>252</v>
      </c>
      <c r="V69" s="8"/>
    </row>
    <row r="70" spans="2:30" ht="30" customHeight="1" x14ac:dyDescent="0.3">
      <c r="B70" s="20">
        <f t="shared" si="11"/>
        <v>48</v>
      </c>
      <c r="C70" s="48" t="s">
        <v>40</v>
      </c>
      <c r="D70" s="2"/>
      <c r="E70" s="187"/>
      <c r="F70" s="2"/>
      <c r="G70" s="30"/>
      <c r="H70" s="31"/>
      <c r="I70" s="30">
        <f>1767</f>
        <v>1767</v>
      </c>
      <c r="J70" s="2">
        <f t="shared" si="8"/>
        <v>4167</v>
      </c>
      <c r="K70" s="30"/>
      <c r="L70" s="75">
        <v>1.125</v>
      </c>
      <c r="M70" s="3"/>
      <c r="N70" s="3">
        <f>I70/L70</f>
        <v>1570.6666666666667</v>
      </c>
      <c r="O70" s="3">
        <f t="shared" si="9"/>
        <v>5495.8241569557258</v>
      </c>
      <c r="P70" s="31">
        <v>60</v>
      </c>
      <c r="Q70" s="75">
        <f t="shared" si="23"/>
        <v>1</v>
      </c>
      <c r="R70" s="52" t="s">
        <v>50</v>
      </c>
      <c r="S70" s="31"/>
      <c r="T70" s="31" t="s">
        <v>51</v>
      </c>
      <c r="U70" s="31" t="s">
        <v>49</v>
      </c>
      <c r="V70" s="262"/>
    </row>
    <row r="71" spans="2:30" ht="30" customHeight="1" thickBot="1" x14ac:dyDescent="0.35">
      <c r="B71" s="159">
        <f t="shared" si="11"/>
        <v>49</v>
      </c>
      <c r="C71" s="160" t="s">
        <v>312</v>
      </c>
      <c r="D71" s="30"/>
      <c r="E71" s="187"/>
      <c r="F71" s="30"/>
      <c r="G71" s="30"/>
      <c r="H71" s="31"/>
      <c r="I71" s="30">
        <f>J70</f>
        <v>4167</v>
      </c>
      <c r="J71" s="30">
        <f t="shared" si="8"/>
        <v>0</v>
      </c>
      <c r="K71" s="30"/>
      <c r="L71" s="162">
        <v>0.75819999999999999</v>
      </c>
      <c r="M71" s="161"/>
      <c r="N71" s="161">
        <f>I71/L71</f>
        <v>5495.9113690319182</v>
      </c>
      <c r="O71" s="161">
        <f t="shared" si="9"/>
        <v>-8.7212076192372479E-2</v>
      </c>
      <c r="P71" s="31">
        <v>720</v>
      </c>
      <c r="Q71" s="75">
        <f t="shared" si="23"/>
        <v>12</v>
      </c>
      <c r="R71" s="52" t="s">
        <v>50</v>
      </c>
      <c r="S71" s="31"/>
      <c r="T71" s="31" t="s">
        <v>55</v>
      </c>
      <c r="U71" s="31" t="s">
        <v>18</v>
      </c>
      <c r="V71" s="98"/>
    </row>
    <row r="72" spans="2:30" ht="30" customHeight="1" thickBot="1" x14ac:dyDescent="0.35">
      <c r="B72" s="562" t="s">
        <v>13</v>
      </c>
      <c r="C72" s="563"/>
      <c r="D72" s="33" t="s">
        <v>96</v>
      </c>
      <c r="E72" s="33" t="s">
        <v>96</v>
      </c>
      <c r="F72" s="33" t="s">
        <v>96</v>
      </c>
      <c r="G72" s="60"/>
      <c r="H72" s="33">
        <f>SUM(H22:H71)</f>
        <v>26744</v>
      </c>
      <c r="I72" s="33">
        <f>SUM(I22:I71)</f>
        <v>26744</v>
      </c>
      <c r="J72" s="33">
        <f>H72-I72</f>
        <v>0</v>
      </c>
      <c r="K72" s="61"/>
      <c r="L72" s="33" t="s">
        <v>96</v>
      </c>
      <c r="M72" s="34">
        <f>SUM(M22:M71)</f>
        <v>29793.796134577944</v>
      </c>
      <c r="N72" s="34">
        <f>SUM(N22:N71)</f>
        <v>29793.883346654125</v>
      </c>
      <c r="O72" s="34">
        <f>M72-N72</f>
        <v>-8.7212076181458542E-2</v>
      </c>
      <c r="P72" s="33">
        <f>SUM(P22:P71)</f>
        <v>10260</v>
      </c>
      <c r="Q72" s="35">
        <f>SUM(Q22:Q71)</f>
        <v>171</v>
      </c>
      <c r="R72" s="33" t="s">
        <v>96</v>
      </c>
      <c r="S72" s="33" t="s">
        <v>96</v>
      </c>
      <c r="T72" s="33" t="s">
        <v>96</v>
      </c>
      <c r="U72" s="62" t="s">
        <v>96</v>
      </c>
      <c r="V72" s="63"/>
    </row>
    <row r="73" spans="2:30" ht="46.5" customHeight="1" thickBot="1" x14ac:dyDescent="0.35">
      <c r="B73" s="558" t="s">
        <v>318</v>
      </c>
      <c r="C73" s="559"/>
      <c r="D73" s="71"/>
      <c r="E73" s="44"/>
      <c r="F73" s="44"/>
      <c r="G73" s="44"/>
      <c r="H73" s="44"/>
      <c r="I73" s="45"/>
      <c r="J73" s="45"/>
      <c r="K73" s="45"/>
      <c r="L73" s="44"/>
      <c r="M73" s="167"/>
      <c r="N73" s="168"/>
      <c r="O73" s="168"/>
      <c r="P73" s="44"/>
      <c r="Q73" s="44"/>
      <c r="R73" s="45"/>
      <c r="S73" s="44"/>
      <c r="T73" s="45"/>
      <c r="U73" s="72"/>
      <c r="V73" s="200"/>
    </row>
    <row r="74" spans="2:30" ht="39.75" customHeight="1" x14ac:dyDescent="0.3">
      <c r="B74" s="28">
        <v>1</v>
      </c>
      <c r="C74" s="70" t="s">
        <v>313</v>
      </c>
      <c r="D74" s="31" t="s">
        <v>147</v>
      </c>
      <c r="E74" s="73" t="s">
        <v>249</v>
      </c>
      <c r="F74" s="31"/>
      <c r="G74" s="73"/>
      <c r="H74" s="73">
        <f>I71</f>
        <v>4167</v>
      </c>
      <c r="I74" s="31"/>
      <c r="J74" s="31">
        <f>H74-I74</f>
        <v>4167</v>
      </c>
      <c r="K74" s="73"/>
      <c r="L74" s="162">
        <f>L71</f>
        <v>0.75819999999999999</v>
      </c>
      <c r="M74" s="74">
        <f t="shared" ref="M74" si="25">H74/L74</f>
        <v>5495.9113690319182</v>
      </c>
      <c r="N74" s="74"/>
      <c r="O74" s="74">
        <f>M74-N74</f>
        <v>5495.9113690319182</v>
      </c>
      <c r="P74" s="31">
        <v>60</v>
      </c>
      <c r="Q74" s="75">
        <f t="shared" ref="Q74:Q75" si="26">P74/60</f>
        <v>1</v>
      </c>
      <c r="R74" s="52" t="s">
        <v>50</v>
      </c>
      <c r="S74" s="31"/>
      <c r="T74" s="31" t="s">
        <v>69</v>
      </c>
      <c r="U74" s="76" t="s">
        <v>59</v>
      </c>
      <c r="V74" s="154"/>
    </row>
    <row r="75" spans="2:30" ht="30" customHeight="1" thickBot="1" x14ac:dyDescent="0.35">
      <c r="B75" s="20">
        <v>2</v>
      </c>
      <c r="C75" s="48" t="s">
        <v>42</v>
      </c>
      <c r="D75" s="31"/>
      <c r="E75" s="73"/>
      <c r="F75" s="31"/>
      <c r="G75" s="73"/>
      <c r="H75" s="31"/>
      <c r="I75" s="31"/>
      <c r="J75" s="31">
        <f>J74+H75-I75</f>
        <v>4167</v>
      </c>
      <c r="K75" s="73"/>
      <c r="L75" s="31"/>
      <c r="M75" s="74"/>
      <c r="N75" s="74"/>
      <c r="O75" s="74">
        <f>O74+M75-N75</f>
        <v>5495.9113690319182</v>
      </c>
      <c r="P75" s="31">
        <v>120</v>
      </c>
      <c r="Q75" s="75">
        <f t="shared" si="26"/>
        <v>2</v>
      </c>
      <c r="R75" s="52" t="s">
        <v>50</v>
      </c>
      <c r="S75" s="31"/>
      <c r="T75" s="31" t="s">
        <v>69</v>
      </c>
      <c r="U75" s="76" t="s">
        <v>59</v>
      </c>
      <c r="V75" s="77"/>
    </row>
    <row r="76" spans="2:30" s="13" customFormat="1" ht="35.1" customHeight="1" x14ac:dyDescent="0.3">
      <c r="B76" s="20">
        <v>3</v>
      </c>
      <c r="C76" s="48" t="s">
        <v>75</v>
      </c>
      <c r="D76" s="31" t="s">
        <v>144</v>
      </c>
      <c r="E76" s="73" t="s">
        <v>249</v>
      </c>
      <c r="F76" s="31"/>
      <c r="G76" s="73"/>
      <c r="H76" s="31">
        <v>5</v>
      </c>
      <c r="I76" s="31"/>
      <c r="J76" s="31">
        <f>J75+H76-I76</f>
        <v>4172</v>
      </c>
      <c r="K76" s="73"/>
      <c r="L76" s="31">
        <v>1.3</v>
      </c>
      <c r="M76" s="74">
        <f>H76/L76</f>
        <v>3.8461538461538458</v>
      </c>
      <c r="N76" s="74"/>
      <c r="O76" s="74">
        <f t="shared" ref="O76:O78" si="27">O75+M76-N76</f>
        <v>5499.7575228780725</v>
      </c>
      <c r="P76" s="31">
        <v>20</v>
      </c>
      <c r="Q76" s="75">
        <f>P76/60</f>
        <v>0.33333333333333331</v>
      </c>
      <c r="R76" s="52" t="s">
        <v>50</v>
      </c>
      <c r="S76" s="31"/>
      <c r="T76" s="31" t="s">
        <v>69</v>
      </c>
      <c r="U76" s="76" t="s">
        <v>59</v>
      </c>
      <c r="V76" s="77"/>
      <c r="X76" s="5" t="s">
        <v>77</v>
      </c>
      <c r="Y76" s="243" t="s">
        <v>369</v>
      </c>
      <c r="Z76" s="244" t="s">
        <v>392</v>
      </c>
      <c r="AB76" s="134" t="s">
        <v>188</v>
      </c>
      <c r="AC76" s="251" t="s">
        <v>372</v>
      </c>
      <c r="AD76" s="140"/>
    </row>
    <row r="77" spans="2:30" ht="32.1" customHeight="1" x14ac:dyDescent="0.3">
      <c r="B77" s="20">
        <v>4</v>
      </c>
      <c r="C77" s="50" t="s">
        <v>48</v>
      </c>
      <c r="D77" s="31"/>
      <c r="E77" s="73"/>
      <c r="F77" s="31"/>
      <c r="G77" s="73"/>
      <c r="H77" s="31"/>
      <c r="I77" s="31"/>
      <c r="J77" s="31">
        <f>J76+H77-I77</f>
        <v>4172</v>
      </c>
      <c r="K77" s="73"/>
      <c r="L77" s="31"/>
      <c r="M77" s="74"/>
      <c r="N77" s="74"/>
      <c r="O77" s="74">
        <f t="shared" si="27"/>
        <v>5499.7575228780725</v>
      </c>
      <c r="P77" s="31">
        <v>1200</v>
      </c>
      <c r="Q77" s="75">
        <f>P77/60</f>
        <v>20</v>
      </c>
      <c r="R77" s="52" t="s">
        <v>50</v>
      </c>
      <c r="S77" s="31"/>
      <c r="T77" s="31" t="s">
        <v>66</v>
      </c>
      <c r="U77" s="76" t="s">
        <v>59</v>
      </c>
      <c r="V77" s="77"/>
      <c r="X77" s="7" t="s">
        <v>1</v>
      </c>
      <c r="Y77" s="263" t="s">
        <v>397</v>
      </c>
      <c r="Z77" s="264" t="s">
        <v>368</v>
      </c>
      <c r="AB77" s="7" t="s">
        <v>189</v>
      </c>
      <c r="AC77" s="30" t="s">
        <v>22</v>
      </c>
      <c r="AD77" s="141"/>
    </row>
    <row r="78" spans="2:30" ht="39.75" customHeight="1" thickBot="1" x14ac:dyDescent="0.35">
      <c r="B78" s="32">
        <v>5</v>
      </c>
      <c r="C78" s="284" t="s">
        <v>389</v>
      </c>
      <c r="D78" s="64"/>
      <c r="E78" s="78"/>
      <c r="F78" s="64"/>
      <c r="G78" s="78"/>
      <c r="H78" s="64"/>
      <c r="I78" s="64">
        <f>J77</f>
        <v>4172</v>
      </c>
      <c r="J78" s="64">
        <f>J77+H78-I78</f>
        <v>0</v>
      </c>
      <c r="K78" s="78"/>
      <c r="L78" s="64">
        <v>0.75860000000000005</v>
      </c>
      <c r="M78" s="169"/>
      <c r="N78" s="169">
        <f>I78/L78</f>
        <v>5499.6045346691271</v>
      </c>
      <c r="O78" s="278">
        <f t="shared" si="27"/>
        <v>0.15298820894531673</v>
      </c>
      <c r="P78" s="64">
        <v>480</v>
      </c>
      <c r="Q78" s="79">
        <f>P78/60</f>
        <v>8</v>
      </c>
      <c r="R78" s="80" t="s">
        <v>50</v>
      </c>
      <c r="S78" s="64"/>
      <c r="T78" s="64" t="s">
        <v>66</v>
      </c>
      <c r="U78" s="81" t="s">
        <v>59</v>
      </c>
      <c r="V78" s="82"/>
      <c r="X78" s="7" t="s">
        <v>78</v>
      </c>
      <c r="Y78" s="265">
        <f>Q79</f>
        <v>31.333333333333332</v>
      </c>
      <c r="Z78" s="266">
        <f>Q84</f>
        <v>9</v>
      </c>
      <c r="AB78" s="7" t="s">
        <v>190</v>
      </c>
      <c r="AC78" s="30">
        <v>15</v>
      </c>
      <c r="AD78" s="141"/>
    </row>
    <row r="79" spans="2:30" ht="30" customHeight="1" thickBot="1" x14ac:dyDescent="0.35">
      <c r="B79" s="579" t="s">
        <v>13</v>
      </c>
      <c r="C79" s="580"/>
      <c r="D79" s="33" t="s">
        <v>96</v>
      </c>
      <c r="E79" s="33" t="s">
        <v>96</v>
      </c>
      <c r="F79" s="33" t="s">
        <v>96</v>
      </c>
      <c r="G79" s="60"/>
      <c r="H79" s="33">
        <f>SUM(H74:H78)</f>
        <v>4172</v>
      </c>
      <c r="I79" s="33">
        <f>SUM(I74:I78)</f>
        <v>4172</v>
      </c>
      <c r="J79" s="33">
        <f>H79-I79</f>
        <v>0</v>
      </c>
      <c r="K79" s="60"/>
      <c r="L79" s="33" t="s">
        <v>96</v>
      </c>
      <c r="M79" s="34">
        <f>SUM(M74:M78)</f>
        <v>5499.7575228780725</v>
      </c>
      <c r="N79" s="34">
        <f>SUM(N74:N78)</f>
        <v>5499.6045346691271</v>
      </c>
      <c r="O79" s="34">
        <f>M79-N79</f>
        <v>0.15298820894531673</v>
      </c>
      <c r="P79" s="33">
        <f>SUM(P74:P78)</f>
        <v>1880</v>
      </c>
      <c r="Q79" s="35">
        <f>SUM(Q74:Q78)</f>
        <v>31.333333333333332</v>
      </c>
      <c r="R79" s="33" t="s">
        <v>96</v>
      </c>
      <c r="S79" s="33" t="s">
        <v>96</v>
      </c>
      <c r="T79" s="33" t="s">
        <v>96</v>
      </c>
      <c r="U79" s="62" t="s">
        <v>96</v>
      </c>
      <c r="V79" s="84"/>
      <c r="X79" s="7" t="s">
        <v>79</v>
      </c>
      <c r="Y79" s="265" t="s">
        <v>158</v>
      </c>
      <c r="Z79" s="266" t="s">
        <v>92</v>
      </c>
      <c r="AB79" s="7" t="s">
        <v>79</v>
      </c>
      <c r="AC79" s="240" t="s">
        <v>292</v>
      </c>
      <c r="AD79" s="141"/>
    </row>
    <row r="80" spans="2:30" ht="46.5" customHeight="1" thickBot="1" x14ac:dyDescent="0.35">
      <c r="B80" s="558" t="s">
        <v>324</v>
      </c>
      <c r="C80" s="559"/>
      <c r="D80" s="71"/>
      <c r="E80" s="44"/>
      <c r="F80" s="44"/>
      <c r="G80" s="44"/>
      <c r="H80" s="44"/>
      <c r="I80" s="45"/>
      <c r="J80" s="45"/>
      <c r="K80" s="45"/>
      <c r="L80" s="44"/>
      <c r="M80" s="167"/>
      <c r="N80" s="168"/>
      <c r="O80" s="168"/>
      <c r="P80" s="44"/>
      <c r="Q80" s="44"/>
      <c r="R80" s="45"/>
      <c r="S80" s="44"/>
      <c r="T80" s="45"/>
      <c r="U80" s="72"/>
      <c r="V80" s="57"/>
      <c r="X80" s="7" t="s">
        <v>80</v>
      </c>
      <c r="Y80" s="188" t="s">
        <v>284</v>
      </c>
      <c r="Z80" s="262" t="s">
        <v>294</v>
      </c>
      <c r="AB80" s="10" t="s">
        <v>191</v>
      </c>
      <c r="AC80" s="261" t="s">
        <v>366</v>
      </c>
      <c r="AD80" s="142"/>
    </row>
    <row r="81" spans="2:32" ht="30" customHeight="1" thickBot="1" x14ac:dyDescent="0.35">
      <c r="B81" s="28">
        <v>1</v>
      </c>
      <c r="C81" s="85" t="s">
        <v>317</v>
      </c>
      <c r="D81" s="2"/>
      <c r="E81" s="2"/>
      <c r="F81" s="2"/>
      <c r="G81" s="30"/>
      <c r="H81" s="2">
        <f>I78</f>
        <v>4172</v>
      </c>
      <c r="I81" s="2"/>
      <c r="J81" s="2">
        <f>H81-I81</f>
        <v>4172</v>
      </c>
      <c r="K81" s="30"/>
      <c r="L81" s="2">
        <v>0.75860000000000005</v>
      </c>
      <c r="M81" s="3">
        <f t="shared" ref="M81" si="28">H81/L81</f>
        <v>5499.6045346691271</v>
      </c>
      <c r="N81" s="3"/>
      <c r="O81" s="3">
        <f>M81-N81</f>
        <v>5499.6045346691271</v>
      </c>
      <c r="P81" s="2">
        <v>120</v>
      </c>
      <c r="Q81" s="11">
        <f t="shared" ref="Q81:Q82" si="29">P81/60</f>
        <v>2</v>
      </c>
      <c r="R81" s="51" t="s">
        <v>50</v>
      </c>
      <c r="S81" s="2"/>
      <c r="T81" s="21" t="str">
        <f>T75</f>
        <v>10 deg C</v>
      </c>
      <c r="U81" s="58" t="s">
        <v>59</v>
      </c>
      <c r="V81" s="53"/>
      <c r="X81" s="7" t="s">
        <v>81</v>
      </c>
      <c r="Y81" s="267" t="s">
        <v>90</v>
      </c>
      <c r="Z81" s="268" t="s">
        <v>93</v>
      </c>
      <c r="AB81" s="573"/>
      <c r="AC81" s="574"/>
      <c r="AD81" s="575"/>
    </row>
    <row r="82" spans="2:32" ht="30" customHeight="1" x14ac:dyDescent="0.3">
      <c r="B82" s="20">
        <v>2</v>
      </c>
      <c r="C82" s="46" t="s">
        <v>315</v>
      </c>
      <c r="D82" s="2"/>
      <c r="E82" s="2"/>
      <c r="F82" s="2"/>
      <c r="G82" s="30"/>
      <c r="H82" s="2"/>
      <c r="I82" s="4">
        <f>J81-1700</f>
        <v>2472</v>
      </c>
      <c r="J82" s="2">
        <f>J81+H82-I82</f>
        <v>1700</v>
      </c>
      <c r="K82" s="30"/>
      <c r="L82" s="163">
        <v>0.60550000000000004</v>
      </c>
      <c r="M82" s="170"/>
      <c r="N82" s="3">
        <f>I82/L82</f>
        <v>4082.5763831544177</v>
      </c>
      <c r="O82" s="3">
        <f>O81+M82-N82</f>
        <v>1417.0281515147094</v>
      </c>
      <c r="P82" s="2">
        <v>240</v>
      </c>
      <c r="Q82" s="11">
        <f t="shared" si="29"/>
        <v>4</v>
      </c>
      <c r="R82" s="51" t="s">
        <v>50</v>
      </c>
      <c r="S82" s="2"/>
      <c r="T82" s="21" t="s">
        <v>69</v>
      </c>
      <c r="U82" s="58" t="s">
        <v>59</v>
      </c>
      <c r="V82" s="53"/>
      <c r="X82" s="7" t="s">
        <v>10</v>
      </c>
      <c r="Y82" s="267" t="s">
        <v>151</v>
      </c>
      <c r="Z82" s="262" t="s">
        <v>151</v>
      </c>
      <c r="AB82" s="134" t="s">
        <v>192</v>
      </c>
      <c r="AC82" s="243" t="s">
        <v>372</v>
      </c>
      <c r="AD82" s="271"/>
    </row>
    <row r="83" spans="2:32" s="14" customFormat="1" ht="35.1" customHeight="1" thickBot="1" x14ac:dyDescent="0.35">
      <c r="B83" s="32">
        <v>3</v>
      </c>
      <c r="C83" s="86" t="s">
        <v>122</v>
      </c>
      <c r="D83" s="22"/>
      <c r="E83" s="22"/>
      <c r="F83" s="22"/>
      <c r="G83" s="54"/>
      <c r="H83" s="22"/>
      <c r="I83" s="22">
        <f>J82</f>
        <v>1700</v>
      </c>
      <c r="J83" s="22">
        <f>J82+H83-I83</f>
        <v>0</v>
      </c>
      <c r="K83" s="54"/>
      <c r="L83" s="22">
        <v>1.2</v>
      </c>
      <c r="M83" s="24"/>
      <c r="N83" s="3">
        <f>I83/L83</f>
        <v>1416.6666666666667</v>
      </c>
      <c r="O83" s="3">
        <f>O82+M83-N83</f>
        <v>0.36148484804266445</v>
      </c>
      <c r="P83" s="22">
        <v>180</v>
      </c>
      <c r="Q83" s="25">
        <f>P83/60</f>
        <v>3</v>
      </c>
      <c r="R83" s="55" t="s">
        <v>121</v>
      </c>
      <c r="S83" s="22"/>
      <c r="T83" s="23" t="s">
        <v>69</v>
      </c>
      <c r="U83" s="59" t="s">
        <v>59</v>
      </c>
      <c r="V83" s="26"/>
      <c r="X83" s="7" t="s">
        <v>82</v>
      </c>
      <c r="Y83" s="263" t="s">
        <v>159</v>
      </c>
      <c r="Z83" s="264" t="s">
        <v>160</v>
      </c>
      <c r="AB83" s="7" t="s">
        <v>189</v>
      </c>
      <c r="AC83" s="30" t="s">
        <v>91</v>
      </c>
      <c r="AD83" s="272"/>
    </row>
    <row r="84" spans="2:32" ht="29.55" customHeight="1" thickBot="1" x14ac:dyDescent="0.35">
      <c r="B84" s="562" t="s">
        <v>13</v>
      </c>
      <c r="C84" s="563"/>
      <c r="D84" s="33" t="s">
        <v>96</v>
      </c>
      <c r="E84" s="33" t="s">
        <v>96</v>
      </c>
      <c r="F84" s="33" t="s">
        <v>96</v>
      </c>
      <c r="G84" s="60"/>
      <c r="H84" s="33">
        <f>SUM(H81:H83)</f>
        <v>4172</v>
      </c>
      <c r="I84" s="33">
        <f>SUM(I81:I83)</f>
        <v>4172</v>
      </c>
      <c r="J84" s="33">
        <f>H84-I84</f>
        <v>0</v>
      </c>
      <c r="K84" s="61"/>
      <c r="L84" s="33" t="s">
        <v>96</v>
      </c>
      <c r="M84" s="34">
        <f>SUM(M81:M83)</f>
        <v>5499.6045346691271</v>
      </c>
      <c r="N84" s="34">
        <f>SUM(N81:N83)</f>
        <v>5499.2430498210842</v>
      </c>
      <c r="O84" s="202">
        <f>M84-N84</f>
        <v>0.36148484804289183</v>
      </c>
      <c r="P84" s="33">
        <f>SUM(P81:P83)</f>
        <v>540</v>
      </c>
      <c r="Q84" s="35">
        <f>SUM(Q81:Q83)</f>
        <v>9</v>
      </c>
      <c r="R84" s="33" t="s">
        <v>96</v>
      </c>
      <c r="S84" s="33" t="s">
        <v>96</v>
      </c>
      <c r="T84" s="33" t="s">
        <v>96</v>
      </c>
      <c r="U84" s="62" t="s">
        <v>96</v>
      </c>
      <c r="V84" s="63"/>
      <c r="X84" s="7" t="s">
        <v>83</v>
      </c>
      <c r="Y84" s="188">
        <v>90</v>
      </c>
      <c r="Z84" s="262">
        <v>13</v>
      </c>
      <c r="AB84" s="7" t="s">
        <v>190</v>
      </c>
      <c r="AC84" s="30">
        <v>10</v>
      </c>
      <c r="AD84" s="273"/>
    </row>
    <row r="85" spans="2:32" ht="47.25" customHeight="1" thickBot="1" x14ac:dyDescent="0.35">
      <c r="B85" s="581" t="s">
        <v>390</v>
      </c>
      <c r="C85" s="582"/>
      <c r="D85" s="71"/>
      <c r="E85" s="44"/>
      <c r="F85" s="44"/>
      <c r="G85" s="44"/>
      <c r="H85" s="44"/>
      <c r="I85" s="45"/>
      <c r="J85" s="45"/>
      <c r="K85" s="45"/>
      <c r="L85" s="44"/>
      <c r="M85" s="167"/>
      <c r="N85" s="168"/>
      <c r="O85" s="168"/>
      <c r="P85" s="44"/>
      <c r="Q85" s="44"/>
      <c r="R85" s="45"/>
      <c r="S85" s="44"/>
      <c r="T85" s="45"/>
      <c r="U85" s="72"/>
      <c r="V85" s="200"/>
      <c r="X85" s="7" t="s">
        <v>84</v>
      </c>
      <c r="Y85" s="188" t="s">
        <v>362</v>
      </c>
      <c r="Z85" s="262" t="s">
        <v>370</v>
      </c>
      <c r="AB85" s="7" t="s">
        <v>79</v>
      </c>
      <c r="AC85" s="30" t="s">
        <v>292</v>
      </c>
      <c r="AD85" s="273"/>
    </row>
    <row r="86" spans="2:32" ht="37.5" customHeight="1" thickBot="1" x14ac:dyDescent="0.35">
      <c r="B86" s="28">
        <v>1</v>
      </c>
      <c r="C86" s="85" t="s">
        <v>316</v>
      </c>
      <c r="D86" s="31"/>
      <c r="E86" s="31"/>
      <c r="F86" s="31"/>
      <c r="G86" s="73"/>
      <c r="H86" s="31">
        <f>I82</f>
        <v>2472</v>
      </c>
      <c r="I86" s="31"/>
      <c r="J86" s="31">
        <f>H86-I86</f>
        <v>2472</v>
      </c>
      <c r="K86" s="73"/>
      <c r="L86" s="31">
        <v>0.60550000000000004</v>
      </c>
      <c r="M86" s="74">
        <f t="shared" ref="M86" si="30">H86/L86</f>
        <v>4082.5763831544177</v>
      </c>
      <c r="N86" s="74"/>
      <c r="O86" s="74">
        <f>M86-N86</f>
        <v>4082.5763831544177</v>
      </c>
      <c r="P86" s="31">
        <v>60</v>
      </c>
      <c r="Q86" s="75">
        <f t="shared" ref="Q86:Q87" si="31">P86/60</f>
        <v>1</v>
      </c>
      <c r="R86" s="52" t="s">
        <v>50</v>
      </c>
      <c r="S86" s="31"/>
      <c r="T86" s="204" t="s">
        <v>51</v>
      </c>
      <c r="U86" s="76" t="s">
        <v>59</v>
      </c>
      <c r="V86" s="154"/>
      <c r="X86" s="7" t="s">
        <v>85</v>
      </c>
      <c r="Y86" s="188" t="s">
        <v>363</v>
      </c>
      <c r="Z86" s="269" t="s">
        <v>363</v>
      </c>
      <c r="AB86" s="10" t="s">
        <v>191</v>
      </c>
      <c r="AC86" s="222" t="s">
        <v>366</v>
      </c>
      <c r="AD86" s="274"/>
    </row>
    <row r="87" spans="2:32" ht="30" customHeight="1" x14ac:dyDescent="0.3">
      <c r="B87" s="20">
        <v>2</v>
      </c>
      <c r="C87" s="46" t="s">
        <v>298</v>
      </c>
      <c r="D87" s="31"/>
      <c r="E87" s="31"/>
      <c r="F87" s="31"/>
      <c r="G87" s="73"/>
      <c r="H87" s="31"/>
      <c r="I87" s="31">
        <v>1500</v>
      </c>
      <c r="J87" s="31">
        <f>J86+H87-I87</f>
        <v>972</v>
      </c>
      <c r="K87" s="73"/>
      <c r="L87" s="73">
        <v>0.6</v>
      </c>
      <c r="M87" s="171"/>
      <c r="N87" s="279">
        <f>I87/L87</f>
        <v>2500</v>
      </c>
      <c r="O87" s="74">
        <f>O86+M87-N87</f>
        <v>1582.5763831544177</v>
      </c>
      <c r="P87" s="31">
        <v>120</v>
      </c>
      <c r="Q87" s="75">
        <f t="shared" si="31"/>
        <v>2</v>
      </c>
      <c r="R87" s="52" t="s">
        <v>50</v>
      </c>
      <c r="S87" s="31"/>
      <c r="T87" s="50" t="s">
        <v>123</v>
      </c>
      <c r="U87" s="76" t="s">
        <v>94</v>
      </c>
      <c r="V87" s="89"/>
      <c r="X87" s="97" t="s">
        <v>86</v>
      </c>
      <c r="Y87" s="188" t="s">
        <v>289</v>
      </c>
      <c r="Z87" s="262" t="s">
        <v>289</v>
      </c>
    </row>
    <row r="88" spans="2:32" s="13" customFormat="1" ht="32.1" customHeight="1" x14ac:dyDescent="0.3">
      <c r="B88" s="20">
        <v>3</v>
      </c>
      <c r="C88" s="21" t="s">
        <v>124</v>
      </c>
      <c r="D88" s="31"/>
      <c r="E88" s="31"/>
      <c r="F88" s="31"/>
      <c r="G88" s="73"/>
      <c r="H88" s="31"/>
      <c r="I88" s="31">
        <v>800</v>
      </c>
      <c r="J88" s="73">
        <f>J87+H88-I88</f>
        <v>172</v>
      </c>
      <c r="K88" s="73"/>
      <c r="L88" s="73">
        <v>0.56699999999999995</v>
      </c>
      <c r="M88" s="74"/>
      <c r="N88" s="279">
        <f>I88/L88</f>
        <v>1410.9347442680778</v>
      </c>
      <c r="O88" s="74">
        <f t="shared" ref="O88:O89" si="32">O87+M88-N88</f>
        <v>171.64163888633993</v>
      </c>
      <c r="P88" s="31">
        <v>20</v>
      </c>
      <c r="Q88" s="75">
        <f>P88/60</f>
        <v>0.33333333333333331</v>
      </c>
      <c r="R88" s="52" t="s">
        <v>104</v>
      </c>
      <c r="S88" s="31"/>
      <c r="T88" s="50" t="s">
        <v>125</v>
      </c>
      <c r="U88" s="76" t="s">
        <v>94</v>
      </c>
      <c r="V88" s="89"/>
      <c r="X88" s="7" t="s">
        <v>87</v>
      </c>
      <c r="Y88" s="188" t="s">
        <v>364</v>
      </c>
      <c r="Z88" s="262" t="s">
        <v>371</v>
      </c>
    </row>
    <row r="89" spans="2:32" ht="32.1" customHeight="1" thickBot="1" x14ac:dyDescent="0.35">
      <c r="B89" s="32">
        <v>4</v>
      </c>
      <c r="C89" s="23" t="s">
        <v>126</v>
      </c>
      <c r="D89" s="64"/>
      <c r="E89" s="64"/>
      <c r="F89" s="64"/>
      <c r="G89" s="78"/>
      <c r="H89" s="64"/>
      <c r="I89" s="64">
        <f>J88</f>
        <v>172</v>
      </c>
      <c r="J89" s="78">
        <f>J88+H89-I89</f>
        <v>0</v>
      </c>
      <c r="K89" s="78"/>
      <c r="L89" s="78">
        <v>1</v>
      </c>
      <c r="M89" s="172"/>
      <c r="N89" s="280">
        <f>I89/L89</f>
        <v>172</v>
      </c>
      <c r="O89" s="169">
        <f t="shared" si="32"/>
        <v>-0.35836111366006662</v>
      </c>
      <c r="P89" s="64">
        <v>1200</v>
      </c>
      <c r="Q89" s="79">
        <f>P89/60</f>
        <v>20</v>
      </c>
      <c r="R89" s="80" t="s">
        <v>50</v>
      </c>
      <c r="S89" s="64"/>
      <c r="T89" s="64" t="s">
        <v>66</v>
      </c>
      <c r="U89" s="81" t="s">
        <v>59</v>
      </c>
      <c r="V89" s="90"/>
      <c r="X89" s="7" t="s">
        <v>88</v>
      </c>
      <c r="Y89" s="188" t="s">
        <v>95</v>
      </c>
      <c r="Z89" s="262" t="s">
        <v>249</v>
      </c>
    </row>
    <row r="90" spans="2:32" ht="38.25" customHeight="1" thickBot="1" x14ac:dyDescent="0.35">
      <c r="B90" s="579" t="s">
        <v>13</v>
      </c>
      <c r="C90" s="580"/>
      <c r="D90" s="33" t="s">
        <v>96</v>
      </c>
      <c r="E90" s="33" t="s">
        <v>96</v>
      </c>
      <c r="F90" s="33" t="s">
        <v>96</v>
      </c>
      <c r="G90" s="60"/>
      <c r="H90" s="33">
        <f>SUM(H86:H89)</f>
        <v>2472</v>
      </c>
      <c r="I90" s="33">
        <f>SUM(I86:I89)</f>
        <v>2472</v>
      </c>
      <c r="J90" s="281">
        <f>H90-I90</f>
        <v>0</v>
      </c>
      <c r="K90" s="60"/>
      <c r="L90" s="33" t="s">
        <v>96</v>
      </c>
      <c r="M90" s="34">
        <f>SUM(M86:M89)</f>
        <v>4082.5763831544177</v>
      </c>
      <c r="N90" s="34">
        <f>SUM(N86:N89)</f>
        <v>4082.9347442680778</v>
      </c>
      <c r="O90" s="34">
        <f>M90-N90</f>
        <v>-0.35836111366006662</v>
      </c>
      <c r="P90" s="33">
        <f>SUM(P86:P89)</f>
        <v>1400</v>
      </c>
      <c r="Q90" s="35">
        <f>SUM(Q86:Q89)</f>
        <v>23.333333333333332</v>
      </c>
      <c r="R90" s="33" t="s">
        <v>96</v>
      </c>
      <c r="S90" s="33" t="s">
        <v>96</v>
      </c>
      <c r="T90" s="33" t="s">
        <v>96</v>
      </c>
      <c r="U90" s="62" t="s">
        <v>96</v>
      </c>
      <c r="V90" s="201"/>
      <c r="X90" s="10" t="s">
        <v>153</v>
      </c>
      <c r="Y90" s="239" t="s">
        <v>286</v>
      </c>
      <c r="Z90" s="270" t="s">
        <v>293</v>
      </c>
    </row>
    <row r="91" spans="2:32" ht="48" customHeight="1" thickBot="1" x14ac:dyDescent="0.35">
      <c r="B91" s="583" t="s">
        <v>319</v>
      </c>
      <c r="C91" s="584"/>
      <c r="D91" s="92"/>
      <c r="E91" s="87"/>
      <c r="F91" s="87"/>
      <c r="G91" s="87"/>
      <c r="H91" s="87"/>
      <c r="I91" s="88"/>
      <c r="J91" s="88"/>
      <c r="K91" s="88"/>
      <c r="L91" s="87"/>
      <c r="M91" s="173"/>
      <c r="N91" s="174"/>
      <c r="O91" s="174"/>
      <c r="P91" s="87"/>
      <c r="Q91" s="87"/>
      <c r="R91" s="88"/>
      <c r="S91" s="87"/>
      <c r="T91" s="88"/>
      <c r="U91" s="93"/>
      <c r="V91" s="94"/>
    </row>
    <row r="92" spans="2:32" ht="30" customHeight="1" x14ac:dyDescent="0.3">
      <c r="B92" s="28">
        <v>1</v>
      </c>
      <c r="C92" s="91" t="s">
        <v>70</v>
      </c>
      <c r="D92" s="31" t="s">
        <v>148</v>
      </c>
      <c r="E92" s="73" t="s">
        <v>249</v>
      </c>
      <c r="F92" s="31"/>
      <c r="G92" s="73"/>
      <c r="H92" s="31">
        <f>I32+I35</f>
        <v>2600</v>
      </c>
      <c r="I92" s="31"/>
      <c r="J92" s="31">
        <f>H92-I92</f>
        <v>2600</v>
      </c>
      <c r="K92" s="73"/>
      <c r="L92" s="31">
        <v>1</v>
      </c>
      <c r="M92" s="74">
        <f>H92/L92</f>
        <v>2600</v>
      </c>
      <c r="N92" s="74"/>
      <c r="O92" s="74">
        <f>M92-N92</f>
        <v>2600</v>
      </c>
      <c r="P92" s="73">
        <v>60</v>
      </c>
      <c r="Q92" s="73">
        <f>P92/60</f>
        <v>1</v>
      </c>
      <c r="R92" s="73" t="s">
        <v>50</v>
      </c>
      <c r="S92" s="73"/>
      <c r="T92" s="73" t="s">
        <v>404</v>
      </c>
      <c r="U92" s="288" t="s">
        <v>49</v>
      </c>
      <c r="V92" s="77"/>
    </row>
    <row r="93" spans="2:32" ht="30" customHeight="1" thickBot="1" x14ac:dyDescent="0.35">
      <c r="B93" s="20">
        <v>2</v>
      </c>
      <c r="C93" s="46" t="s">
        <v>43</v>
      </c>
      <c r="D93" s="31" t="s">
        <v>136</v>
      </c>
      <c r="E93" s="73" t="s">
        <v>249</v>
      </c>
      <c r="F93" s="31"/>
      <c r="G93" s="73"/>
      <c r="H93" s="31">
        <v>1300</v>
      </c>
      <c r="I93" s="31"/>
      <c r="J93" s="31">
        <f>J92+H93-I93</f>
        <v>3900</v>
      </c>
      <c r="K93" s="73"/>
      <c r="L93" s="31">
        <v>1.2</v>
      </c>
      <c r="M93" s="74">
        <f t="shared" ref="M93" si="33">H93/L93</f>
        <v>1083.3333333333335</v>
      </c>
      <c r="N93" s="74"/>
      <c r="O93" s="74">
        <f>O92+M93-N93</f>
        <v>3683.3333333333335</v>
      </c>
      <c r="P93" s="31">
        <v>600</v>
      </c>
      <c r="Q93" s="75">
        <f t="shared" ref="Q93:Q95" si="34">P93/60</f>
        <v>10</v>
      </c>
      <c r="R93" s="52" t="s">
        <v>50</v>
      </c>
      <c r="S93" s="31"/>
      <c r="T93" s="31" t="s">
        <v>51</v>
      </c>
      <c r="U93" s="76" t="s">
        <v>49</v>
      </c>
      <c r="V93" s="77"/>
    </row>
    <row r="94" spans="2:32" s="14" customFormat="1" ht="35.1" customHeight="1" x14ac:dyDescent="0.3">
      <c r="B94" s="20">
        <v>3</v>
      </c>
      <c r="C94" s="46" t="s">
        <v>44</v>
      </c>
      <c r="D94" s="31"/>
      <c r="E94" s="73"/>
      <c r="F94" s="31"/>
      <c r="G94" s="73"/>
      <c r="H94" s="31"/>
      <c r="I94" s="31"/>
      <c r="J94" s="31">
        <f>J93+H94-I94</f>
        <v>3900</v>
      </c>
      <c r="K94" s="73"/>
      <c r="L94" s="31"/>
      <c r="M94" s="74"/>
      <c r="N94" s="74"/>
      <c r="O94" s="74">
        <f t="shared" ref="O94:O95" si="35">O93+M94-N94</f>
        <v>3683.3333333333335</v>
      </c>
      <c r="P94" s="31">
        <v>60</v>
      </c>
      <c r="Q94" s="75">
        <f t="shared" si="34"/>
        <v>1</v>
      </c>
      <c r="R94" s="52" t="s">
        <v>50</v>
      </c>
      <c r="S94" s="31"/>
      <c r="T94" s="31" t="s">
        <v>51</v>
      </c>
      <c r="U94" s="76" t="s">
        <v>49</v>
      </c>
      <c r="V94" s="77"/>
      <c r="X94" s="5" t="s">
        <v>77</v>
      </c>
      <c r="Y94" s="253" t="s">
        <v>381</v>
      </c>
      <c r="Z94" s="253" t="s">
        <v>383</v>
      </c>
      <c r="AA94" s="249" t="s">
        <v>351</v>
      </c>
      <c r="AC94" s="135" t="s">
        <v>188</v>
      </c>
      <c r="AD94" s="243" t="s">
        <v>381</v>
      </c>
      <c r="AE94" s="243" t="s">
        <v>383</v>
      </c>
      <c r="AF94" s="244" t="s">
        <v>351</v>
      </c>
    </row>
    <row r="95" spans="2:32" ht="35.25" customHeight="1" thickBot="1" x14ac:dyDescent="0.35">
      <c r="B95" s="47">
        <v>4</v>
      </c>
      <c r="C95" s="86" t="s">
        <v>45</v>
      </c>
      <c r="D95" s="64"/>
      <c r="E95" s="78"/>
      <c r="F95" s="64"/>
      <c r="G95" s="78"/>
      <c r="H95" s="64"/>
      <c r="I95" s="64">
        <f>J94</f>
        <v>3900</v>
      </c>
      <c r="J95" s="64">
        <f>J94+H95-I95</f>
        <v>0</v>
      </c>
      <c r="K95" s="78"/>
      <c r="L95" s="164">
        <v>1.0589</v>
      </c>
      <c r="M95" s="169"/>
      <c r="N95" s="169">
        <f>I95/L95</f>
        <v>3683.0673340258759</v>
      </c>
      <c r="O95" s="74">
        <f t="shared" si="35"/>
        <v>0.26599930745760503</v>
      </c>
      <c r="P95" s="64">
        <v>120</v>
      </c>
      <c r="Q95" s="79">
        <f t="shared" si="34"/>
        <v>2</v>
      </c>
      <c r="R95" s="80" t="s">
        <v>50</v>
      </c>
      <c r="S95" s="64"/>
      <c r="T95" s="64" t="s">
        <v>51</v>
      </c>
      <c r="U95" s="81" t="s">
        <v>49</v>
      </c>
      <c r="V95" s="82"/>
      <c r="X95" s="7" t="s">
        <v>1</v>
      </c>
      <c r="Y95" s="31" t="s">
        <v>155</v>
      </c>
      <c r="Z95" s="31" t="s">
        <v>382</v>
      </c>
      <c r="AA95" s="8" t="s">
        <v>384</v>
      </c>
      <c r="AC95" s="136" t="s">
        <v>189</v>
      </c>
      <c r="AD95" s="30" t="s">
        <v>49</v>
      </c>
      <c r="AE95" s="30" t="s">
        <v>22</v>
      </c>
      <c r="AF95" s="98" t="s">
        <v>49</v>
      </c>
    </row>
    <row r="96" spans="2:32" ht="35.25" customHeight="1" thickBot="1" x14ac:dyDescent="0.35">
      <c r="B96" s="27"/>
      <c r="C96" s="36" t="s">
        <v>150</v>
      </c>
      <c r="D96" s="33" t="s">
        <v>96</v>
      </c>
      <c r="E96" s="33" t="s">
        <v>96</v>
      </c>
      <c r="F96" s="33" t="s">
        <v>96</v>
      </c>
      <c r="G96" s="60"/>
      <c r="H96" s="33">
        <f>SUM(H92:H95)</f>
        <v>3900</v>
      </c>
      <c r="I96" s="33">
        <f>SUM(I92:I95)</f>
        <v>3900</v>
      </c>
      <c r="J96" s="33">
        <f>H96-I96</f>
        <v>0</v>
      </c>
      <c r="K96" s="60"/>
      <c r="L96" s="33" t="s">
        <v>96</v>
      </c>
      <c r="M96" s="34">
        <f>SUM(M92:M95)</f>
        <v>3683.3333333333335</v>
      </c>
      <c r="N96" s="34">
        <f>SUM(N92:N95)</f>
        <v>3683.0673340258759</v>
      </c>
      <c r="O96" s="202">
        <f>M96-N96</f>
        <v>0.26599930745760503</v>
      </c>
      <c r="P96" s="33">
        <f>SUM(P92:P95)</f>
        <v>840</v>
      </c>
      <c r="Q96" s="35">
        <f>SUM(Q92:Q95)</f>
        <v>14</v>
      </c>
      <c r="R96" s="56" t="s">
        <v>96</v>
      </c>
      <c r="S96" s="33" t="s">
        <v>96</v>
      </c>
      <c r="T96" s="83" t="s">
        <v>96</v>
      </c>
      <c r="U96" s="62" t="s">
        <v>96</v>
      </c>
      <c r="V96" s="63"/>
      <c r="X96" s="7" t="s">
        <v>78</v>
      </c>
      <c r="Y96" s="11">
        <f>Q96</f>
        <v>14</v>
      </c>
      <c r="Z96" s="11">
        <f>Q102</f>
        <v>14</v>
      </c>
      <c r="AA96" s="12">
        <f>Q109</f>
        <v>15</v>
      </c>
      <c r="AC96" s="136" t="s">
        <v>190</v>
      </c>
      <c r="AD96" s="30">
        <v>20</v>
      </c>
      <c r="AE96" s="30">
        <v>6.5</v>
      </c>
      <c r="AF96" s="98">
        <v>20</v>
      </c>
    </row>
    <row r="97" spans="2:32" ht="48.75" customHeight="1" thickBot="1" x14ac:dyDescent="0.35">
      <c r="B97" s="558" t="s">
        <v>320</v>
      </c>
      <c r="C97" s="559"/>
      <c r="D97" s="92"/>
      <c r="E97" s="87"/>
      <c r="F97" s="87"/>
      <c r="G97" s="87"/>
      <c r="H97" s="87"/>
      <c r="I97" s="88"/>
      <c r="J97" s="88"/>
      <c r="K97" s="88"/>
      <c r="L97" s="87"/>
      <c r="M97" s="173"/>
      <c r="N97" s="174"/>
      <c r="O97" s="174"/>
      <c r="P97" s="87"/>
      <c r="Q97" s="87"/>
      <c r="R97" s="88"/>
      <c r="S97" s="87"/>
      <c r="T97" s="88"/>
      <c r="U97" s="93"/>
      <c r="V97" s="94"/>
      <c r="X97" s="7" t="s">
        <v>79</v>
      </c>
      <c r="Y97" s="11" t="s">
        <v>92</v>
      </c>
      <c r="Z97" s="11" t="s">
        <v>89</v>
      </c>
      <c r="AA97" s="12" t="s">
        <v>92</v>
      </c>
      <c r="AC97" s="136" t="s">
        <v>79</v>
      </c>
      <c r="AD97" s="240" t="s">
        <v>287</v>
      </c>
      <c r="AE97" s="240" t="s">
        <v>292</v>
      </c>
      <c r="AF97" s="252" t="s">
        <v>287</v>
      </c>
    </row>
    <row r="98" spans="2:32" ht="30" customHeight="1" thickBot="1" x14ac:dyDescent="0.35">
      <c r="B98" s="28">
        <v>1</v>
      </c>
      <c r="C98" s="91" t="s">
        <v>111</v>
      </c>
      <c r="D98" s="2" t="s">
        <v>137</v>
      </c>
      <c r="E98" s="73" t="s">
        <v>249</v>
      </c>
      <c r="F98" s="2"/>
      <c r="G98" s="30"/>
      <c r="H98" s="2">
        <f>I59</f>
        <v>2500</v>
      </c>
      <c r="I98" s="21"/>
      <c r="J98" s="2">
        <f>H98-I98</f>
        <v>2500</v>
      </c>
      <c r="K98" s="30"/>
      <c r="L98" s="2">
        <v>0.85</v>
      </c>
      <c r="M98" s="3">
        <f>H98/L98</f>
        <v>2941.1764705882356</v>
      </c>
      <c r="N98" s="3"/>
      <c r="O98" s="3">
        <f>M98-N98</f>
        <v>2941.1764705882356</v>
      </c>
      <c r="P98" s="30">
        <v>60</v>
      </c>
      <c r="Q98" s="30">
        <f>P98/60</f>
        <v>1</v>
      </c>
      <c r="R98" s="30" t="s">
        <v>50</v>
      </c>
      <c r="S98" s="2"/>
      <c r="T98" s="30" t="s">
        <v>51</v>
      </c>
      <c r="U98" s="30" t="s">
        <v>49</v>
      </c>
      <c r="V98" s="53"/>
      <c r="X98" s="7" t="s">
        <v>80</v>
      </c>
      <c r="Y98" s="30" t="s">
        <v>294</v>
      </c>
      <c r="Z98" s="30" t="s">
        <v>284</v>
      </c>
      <c r="AA98" s="98" t="s">
        <v>294</v>
      </c>
      <c r="AC98" s="137" t="s">
        <v>191</v>
      </c>
      <c r="AD98" s="222" t="s">
        <v>378</v>
      </c>
      <c r="AE98" s="275" t="s">
        <v>380</v>
      </c>
      <c r="AF98" s="99" t="s">
        <v>378</v>
      </c>
    </row>
    <row r="99" spans="2:32" s="13" customFormat="1" ht="30" customHeight="1" thickBot="1" x14ac:dyDescent="0.35">
      <c r="B99" s="20">
        <v>2</v>
      </c>
      <c r="C99" s="46" t="s">
        <v>299</v>
      </c>
      <c r="D99" s="2"/>
      <c r="E99" s="30"/>
      <c r="F99" s="2"/>
      <c r="G99" s="30"/>
      <c r="H99" s="2"/>
      <c r="I99" s="2">
        <v>2000</v>
      </c>
      <c r="J99" s="2">
        <f>J98+H99-I99</f>
        <v>500</v>
      </c>
      <c r="K99" s="30"/>
      <c r="L99" s="2">
        <v>0.86</v>
      </c>
      <c r="M99" s="3"/>
      <c r="N99" s="3">
        <f>I99/L99</f>
        <v>2325.5813953488373</v>
      </c>
      <c r="O99" s="3">
        <f>O98+M99-N99</f>
        <v>615.59507523939828</v>
      </c>
      <c r="P99" s="2">
        <v>600</v>
      </c>
      <c r="Q99" s="11">
        <f t="shared" ref="Q99:Q101" si="36">P99/60</f>
        <v>10</v>
      </c>
      <c r="R99" s="51" t="s">
        <v>50</v>
      </c>
      <c r="S99" s="2"/>
      <c r="T99" s="31" t="s">
        <v>113</v>
      </c>
      <c r="U99" s="58" t="s">
        <v>94</v>
      </c>
      <c r="V99" s="53"/>
      <c r="X99" s="7" t="s">
        <v>81</v>
      </c>
      <c r="Y99" s="2" t="s">
        <v>71</v>
      </c>
      <c r="Z99" s="101" t="s">
        <v>112</v>
      </c>
      <c r="AA99" s="102" t="s">
        <v>71</v>
      </c>
      <c r="AC99" s="576"/>
      <c r="AD99" s="577"/>
      <c r="AE99" s="577"/>
      <c r="AF99" s="578"/>
    </row>
    <row r="100" spans="2:32" s="13" customFormat="1" ht="35.1" customHeight="1" x14ac:dyDescent="0.3">
      <c r="B100" s="20">
        <v>3</v>
      </c>
      <c r="C100" s="46" t="s">
        <v>114</v>
      </c>
      <c r="D100" s="2" t="s">
        <v>135</v>
      </c>
      <c r="E100" s="73" t="s">
        <v>249</v>
      </c>
      <c r="F100" s="2"/>
      <c r="G100" s="30"/>
      <c r="H100" s="2">
        <v>500</v>
      </c>
      <c r="I100" s="2"/>
      <c r="J100" s="2">
        <f>J99+H100-I100</f>
        <v>1000</v>
      </c>
      <c r="K100" s="30"/>
      <c r="L100" s="2">
        <v>1.01</v>
      </c>
      <c r="M100" s="3">
        <f>H100/L100</f>
        <v>495.04950495049502</v>
      </c>
      <c r="N100" s="3"/>
      <c r="O100" s="3">
        <f t="shared" ref="O100:O101" si="37">O99+M100-N100</f>
        <v>1110.6445801898933</v>
      </c>
      <c r="P100" s="2">
        <v>60</v>
      </c>
      <c r="Q100" s="11">
        <f t="shared" si="36"/>
        <v>1</v>
      </c>
      <c r="R100" s="51" t="s">
        <v>50</v>
      </c>
      <c r="S100" s="2"/>
      <c r="T100" s="31" t="s">
        <v>113</v>
      </c>
      <c r="U100" s="58" t="s">
        <v>94</v>
      </c>
      <c r="V100" s="53"/>
      <c r="X100" s="7" t="s">
        <v>10</v>
      </c>
      <c r="Y100" s="2" t="s">
        <v>151</v>
      </c>
      <c r="Z100" s="2" t="s">
        <v>151</v>
      </c>
      <c r="AA100" s="8" t="s">
        <v>151</v>
      </c>
      <c r="AC100" s="135" t="s">
        <v>192</v>
      </c>
      <c r="AD100" s="243" t="s">
        <v>381</v>
      </c>
      <c r="AE100" s="243" t="s">
        <v>383</v>
      </c>
      <c r="AF100" s="244" t="s">
        <v>351</v>
      </c>
    </row>
    <row r="101" spans="2:32" ht="32.1" customHeight="1" thickBot="1" x14ac:dyDescent="0.35">
      <c r="B101" s="47">
        <v>4</v>
      </c>
      <c r="C101" s="86" t="s">
        <v>240</v>
      </c>
      <c r="D101" s="22"/>
      <c r="E101" s="54"/>
      <c r="F101" s="22"/>
      <c r="G101" s="54"/>
      <c r="H101" s="22"/>
      <c r="I101" s="22">
        <f>J100</f>
        <v>1000</v>
      </c>
      <c r="J101" s="22">
        <f>J100+H101-I101</f>
        <v>0</v>
      </c>
      <c r="K101" s="54"/>
      <c r="L101" s="25">
        <v>0.9</v>
      </c>
      <c r="M101" s="24"/>
      <c r="N101" s="24">
        <f>I101/L101</f>
        <v>1111.1111111111111</v>
      </c>
      <c r="O101" s="3">
        <f t="shared" si="37"/>
        <v>-0.46653092121778172</v>
      </c>
      <c r="P101" s="22">
        <v>120</v>
      </c>
      <c r="Q101" s="25">
        <f t="shared" si="36"/>
        <v>2</v>
      </c>
      <c r="R101" s="55" t="s">
        <v>50</v>
      </c>
      <c r="S101" s="22"/>
      <c r="T101" s="64" t="s">
        <v>51</v>
      </c>
      <c r="U101" s="59" t="s">
        <v>49</v>
      </c>
      <c r="V101" s="26"/>
      <c r="X101" s="7" t="s">
        <v>82</v>
      </c>
      <c r="Y101" s="2" t="s">
        <v>156</v>
      </c>
      <c r="Z101" s="2" t="s">
        <v>157</v>
      </c>
      <c r="AA101" s="8" t="s">
        <v>157</v>
      </c>
      <c r="AC101" s="136" t="s">
        <v>189</v>
      </c>
      <c r="AD101" s="30" t="s">
        <v>249</v>
      </c>
      <c r="AE101" s="30" t="s">
        <v>59</v>
      </c>
      <c r="AF101" s="98" t="s">
        <v>91</v>
      </c>
    </row>
    <row r="102" spans="2:32" ht="30" customHeight="1" thickBot="1" x14ac:dyDescent="0.35">
      <c r="B102" s="562" t="s">
        <v>150</v>
      </c>
      <c r="C102" s="563"/>
      <c r="D102" s="33" t="s">
        <v>96</v>
      </c>
      <c r="E102" s="33" t="s">
        <v>96</v>
      </c>
      <c r="F102" s="33" t="s">
        <v>96</v>
      </c>
      <c r="G102" s="60"/>
      <c r="H102" s="33">
        <f>SUM(H98:H101)</f>
        <v>3000</v>
      </c>
      <c r="I102" s="33">
        <f>SUM(I98:I101)</f>
        <v>3000</v>
      </c>
      <c r="J102" s="33">
        <f>H102-I102</f>
        <v>0</v>
      </c>
      <c r="K102" s="60"/>
      <c r="L102" s="33" t="s">
        <v>96</v>
      </c>
      <c r="M102" s="34">
        <f>SUM(M98:M101)</f>
        <v>3436.2259755387304</v>
      </c>
      <c r="N102" s="34">
        <f>SUM(N98:N101)</f>
        <v>3436.6925064599482</v>
      </c>
      <c r="O102" s="34">
        <f>M102-N102</f>
        <v>-0.46653092121778172</v>
      </c>
      <c r="P102" s="33">
        <f>SUM(P98:P101)</f>
        <v>840</v>
      </c>
      <c r="Q102" s="35">
        <f>SUM(Q98:Q101)</f>
        <v>14</v>
      </c>
      <c r="R102" s="33" t="s">
        <v>96</v>
      </c>
      <c r="S102" s="33" t="s">
        <v>96</v>
      </c>
      <c r="T102" s="33" t="s">
        <v>96</v>
      </c>
      <c r="U102" s="62" t="s">
        <v>96</v>
      </c>
      <c r="V102" s="63"/>
      <c r="X102" s="7" t="s">
        <v>83</v>
      </c>
      <c r="Y102" s="30">
        <v>92</v>
      </c>
      <c r="Z102" s="30">
        <v>95</v>
      </c>
      <c r="AA102" s="98">
        <v>92</v>
      </c>
      <c r="AC102" s="136" t="s">
        <v>190</v>
      </c>
      <c r="AD102" s="30" t="s">
        <v>249</v>
      </c>
      <c r="AE102" s="30">
        <v>5</v>
      </c>
      <c r="AF102" s="98">
        <v>15</v>
      </c>
    </row>
    <row r="103" spans="2:32" ht="48.75" customHeight="1" thickBot="1" x14ac:dyDescent="0.35">
      <c r="B103" s="558" t="s">
        <v>321</v>
      </c>
      <c r="C103" s="559"/>
      <c r="D103" s="92"/>
      <c r="E103" s="87"/>
      <c r="F103" s="87"/>
      <c r="G103" s="87"/>
      <c r="H103" s="87"/>
      <c r="I103" s="88"/>
      <c r="J103" s="88"/>
      <c r="K103" s="88"/>
      <c r="L103" s="87"/>
      <c r="M103" s="173"/>
      <c r="N103" s="174"/>
      <c r="O103" s="174"/>
      <c r="P103" s="87"/>
      <c r="Q103" s="87"/>
      <c r="R103" s="88"/>
      <c r="S103" s="87"/>
      <c r="T103" s="88"/>
      <c r="U103" s="93"/>
      <c r="V103" s="94"/>
      <c r="X103" s="7" t="s">
        <v>84</v>
      </c>
      <c r="Y103" s="30" t="s">
        <v>373</v>
      </c>
      <c r="Z103" s="30" t="s">
        <v>374</v>
      </c>
      <c r="AA103" s="98" t="s">
        <v>374</v>
      </c>
      <c r="AC103" s="136" t="s">
        <v>79</v>
      </c>
      <c r="AD103" s="30" t="s">
        <v>249</v>
      </c>
      <c r="AE103" s="30" t="s">
        <v>292</v>
      </c>
      <c r="AF103" s="252" t="s">
        <v>287</v>
      </c>
    </row>
    <row r="104" spans="2:32" ht="30" customHeight="1" thickBot="1" x14ac:dyDescent="0.35">
      <c r="B104" s="28">
        <v>1</v>
      </c>
      <c r="C104" s="91" t="s">
        <v>115</v>
      </c>
      <c r="D104" s="2" t="s">
        <v>137</v>
      </c>
      <c r="E104" s="73" t="s">
        <v>249</v>
      </c>
      <c r="F104" s="2"/>
      <c r="G104" s="30"/>
      <c r="H104" s="2">
        <f>I99</f>
        <v>2000</v>
      </c>
      <c r="I104" s="21"/>
      <c r="J104" s="2">
        <f>H104-I104</f>
        <v>2000</v>
      </c>
      <c r="K104" s="30"/>
      <c r="L104" s="2">
        <v>0.9</v>
      </c>
      <c r="M104" s="3">
        <f>H104/L104</f>
        <v>2222.2222222222222</v>
      </c>
      <c r="N104" s="3"/>
      <c r="O104" s="3">
        <f>M104-N104</f>
        <v>2222.2222222222222</v>
      </c>
      <c r="P104" s="30">
        <v>60</v>
      </c>
      <c r="Q104" s="30">
        <v>1</v>
      </c>
      <c r="R104" s="2" t="s">
        <v>50</v>
      </c>
      <c r="S104" s="2"/>
      <c r="T104" s="2" t="s">
        <v>116</v>
      </c>
      <c r="U104" s="58" t="s">
        <v>252</v>
      </c>
      <c r="V104" s="53"/>
      <c r="X104" s="7" t="s">
        <v>85</v>
      </c>
      <c r="Y104" s="245">
        <v>10</v>
      </c>
      <c r="Z104" s="245">
        <v>7.5</v>
      </c>
      <c r="AA104" s="250">
        <v>10</v>
      </c>
      <c r="AC104" s="137" t="s">
        <v>191</v>
      </c>
      <c r="AD104" s="222" t="s">
        <v>249</v>
      </c>
      <c r="AE104" s="246" t="s">
        <v>380</v>
      </c>
      <c r="AF104" s="99" t="s">
        <v>379</v>
      </c>
    </row>
    <row r="105" spans="2:32" ht="30" customHeight="1" x14ac:dyDescent="0.3">
      <c r="B105" s="20">
        <v>2</v>
      </c>
      <c r="C105" s="46" t="s">
        <v>117</v>
      </c>
      <c r="D105" s="2" t="s">
        <v>149</v>
      </c>
      <c r="E105" s="73" t="s">
        <v>249</v>
      </c>
      <c r="F105" s="2"/>
      <c r="G105" s="30"/>
      <c r="H105" s="2">
        <v>250</v>
      </c>
      <c r="I105" s="2"/>
      <c r="J105" s="2">
        <f>J104+H105-I105</f>
        <v>2250</v>
      </c>
      <c r="K105" s="30"/>
      <c r="L105" s="2">
        <v>2.7</v>
      </c>
      <c r="M105" s="3">
        <f t="shared" ref="M105" si="38">H105/L105</f>
        <v>92.592592592592581</v>
      </c>
      <c r="N105" s="3"/>
      <c r="O105" s="3">
        <f>M105+O104-N105</f>
        <v>2314.8148148148148</v>
      </c>
      <c r="P105" s="2">
        <v>600</v>
      </c>
      <c r="Q105" s="11">
        <f t="shared" ref="Q105:Q107" si="39">P105/60</f>
        <v>10</v>
      </c>
      <c r="R105" s="51" t="s">
        <v>50</v>
      </c>
      <c r="S105" s="2"/>
      <c r="T105" s="2" t="s">
        <v>116</v>
      </c>
      <c r="U105" s="58" t="s">
        <v>49</v>
      </c>
      <c r="V105" s="53"/>
      <c r="X105" s="97" t="s">
        <v>86</v>
      </c>
      <c r="Y105" s="30" t="s">
        <v>289</v>
      </c>
      <c r="Z105" s="30" t="s">
        <v>289</v>
      </c>
      <c r="AA105" s="98" t="s">
        <v>289</v>
      </c>
    </row>
    <row r="106" spans="2:32" ht="29.55" customHeight="1" x14ac:dyDescent="0.3">
      <c r="B106" s="20">
        <v>3</v>
      </c>
      <c r="C106" s="46" t="s">
        <v>118</v>
      </c>
      <c r="D106" s="2"/>
      <c r="E106" s="30"/>
      <c r="F106" s="2"/>
      <c r="G106" s="30"/>
      <c r="H106" s="2"/>
      <c r="I106" s="2">
        <v>600</v>
      </c>
      <c r="J106" s="2">
        <f>J105+H106-I106</f>
        <v>1650</v>
      </c>
      <c r="K106" s="30"/>
      <c r="L106" s="2">
        <v>1.7</v>
      </c>
      <c r="M106" s="3"/>
      <c r="N106" s="3">
        <f>I106/L106</f>
        <v>352.94117647058823</v>
      </c>
      <c r="O106" s="3">
        <f t="shared" ref="O106:O108" si="40">M106+O105-N106</f>
        <v>1961.8736383442265</v>
      </c>
      <c r="P106" s="2">
        <v>60</v>
      </c>
      <c r="Q106" s="11">
        <f t="shared" si="39"/>
        <v>1</v>
      </c>
      <c r="R106" s="51" t="s">
        <v>50</v>
      </c>
      <c r="S106" s="2"/>
      <c r="T106" s="2" t="s">
        <v>113</v>
      </c>
      <c r="U106" s="58" t="s">
        <v>94</v>
      </c>
      <c r="V106" s="53"/>
      <c r="X106" s="7" t="s">
        <v>87</v>
      </c>
      <c r="Y106" s="30" t="s">
        <v>375</v>
      </c>
      <c r="Z106" s="30" t="s">
        <v>376</v>
      </c>
      <c r="AA106" s="98" t="s">
        <v>377</v>
      </c>
    </row>
    <row r="107" spans="2:32" ht="32.1" customHeight="1" x14ac:dyDescent="0.3">
      <c r="B107" s="20">
        <v>4</v>
      </c>
      <c r="C107" s="46" t="s">
        <v>120</v>
      </c>
      <c r="D107" s="2"/>
      <c r="E107" s="30"/>
      <c r="F107" s="2"/>
      <c r="G107" s="30"/>
      <c r="H107" s="2"/>
      <c r="I107" s="2">
        <v>1100</v>
      </c>
      <c r="J107" s="2">
        <f>J106+H107-I107</f>
        <v>550</v>
      </c>
      <c r="K107" s="30"/>
      <c r="L107" s="2">
        <v>0.78</v>
      </c>
      <c r="M107" s="3"/>
      <c r="N107" s="3">
        <v>1412</v>
      </c>
      <c r="O107" s="3">
        <f t="shared" si="40"/>
        <v>549.87363834422649</v>
      </c>
      <c r="P107" s="2">
        <v>120</v>
      </c>
      <c r="Q107" s="11">
        <f t="shared" si="39"/>
        <v>2</v>
      </c>
      <c r="R107" s="51" t="s">
        <v>50</v>
      </c>
      <c r="S107" s="2"/>
      <c r="T107" s="2" t="s">
        <v>113</v>
      </c>
      <c r="U107" s="58" t="s">
        <v>94</v>
      </c>
      <c r="V107" s="53"/>
      <c r="X107" s="7" t="s">
        <v>88</v>
      </c>
      <c r="Y107" s="30" t="s">
        <v>95</v>
      </c>
      <c r="Z107" s="30" t="s">
        <v>249</v>
      </c>
      <c r="AA107" s="98" t="s">
        <v>95</v>
      </c>
    </row>
    <row r="108" spans="2:32" ht="30" customHeight="1" thickBot="1" x14ac:dyDescent="0.35">
      <c r="B108" s="47">
        <v>5</v>
      </c>
      <c r="C108" s="86" t="s">
        <v>119</v>
      </c>
      <c r="D108" s="132"/>
      <c r="E108" s="133"/>
      <c r="F108" s="132"/>
      <c r="G108" s="133"/>
      <c r="H108" s="22"/>
      <c r="I108" s="22">
        <f>J107</f>
        <v>550</v>
      </c>
      <c r="J108" s="22">
        <f>J107+H108-I108</f>
        <v>0</v>
      </c>
      <c r="K108" s="54"/>
      <c r="L108" s="22">
        <v>1</v>
      </c>
      <c r="M108" s="175"/>
      <c r="N108" s="24">
        <f>I108/L108</f>
        <v>550</v>
      </c>
      <c r="O108" s="3">
        <f t="shared" si="40"/>
        <v>-0.12636165577350766</v>
      </c>
      <c r="P108" s="54">
        <v>60</v>
      </c>
      <c r="Q108" s="203">
        <v>1</v>
      </c>
      <c r="R108" s="22" t="s">
        <v>50</v>
      </c>
      <c r="S108" s="22"/>
      <c r="T108" s="22" t="s">
        <v>116</v>
      </c>
      <c r="U108" s="59" t="s">
        <v>49</v>
      </c>
      <c r="V108" s="26"/>
      <c r="X108" s="10" t="s">
        <v>153</v>
      </c>
      <c r="Y108" s="222" t="s">
        <v>290</v>
      </c>
      <c r="Z108" s="248" t="s">
        <v>286</v>
      </c>
      <c r="AA108" s="99" t="s">
        <v>290</v>
      </c>
    </row>
    <row r="109" spans="2:32" ht="30" customHeight="1" thickBot="1" x14ac:dyDescent="0.35">
      <c r="B109" s="95"/>
      <c r="C109" s="33" t="s">
        <v>150</v>
      </c>
      <c r="D109" s="33" t="s">
        <v>96</v>
      </c>
      <c r="E109" s="33" t="s">
        <v>96</v>
      </c>
      <c r="F109" s="33" t="s">
        <v>96</v>
      </c>
      <c r="G109" s="60"/>
      <c r="H109" s="33">
        <f>SUM(H104:H108)</f>
        <v>2250</v>
      </c>
      <c r="I109" s="33">
        <f>SUM(I104:I108)</f>
        <v>2250</v>
      </c>
      <c r="J109" s="33">
        <f>H109-I109</f>
        <v>0</v>
      </c>
      <c r="K109" s="60"/>
      <c r="L109" s="33" t="s">
        <v>96</v>
      </c>
      <c r="M109" s="34">
        <f>SUM(M104:M108)</f>
        <v>2314.8148148148148</v>
      </c>
      <c r="N109" s="34">
        <f>SUM(N104:N108)</f>
        <v>2314.9411764705883</v>
      </c>
      <c r="O109" s="34">
        <f>M109-N109</f>
        <v>-0.12636165577350766</v>
      </c>
      <c r="P109" s="33">
        <f>SUM(P104:P108)</f>
        <v>900</v>
      </c>
      <c r="Q109" s="35">
        <f>SUM(Q104:Q108)</f>
        <v>15</v>
      </c>
      <c r="R109" s="33" t="s">
        <v>96</v>
      </c>
      <c r="S109" s="33" t="s">
        <v>96</v>
      </c>
      <c r="T109" s="33" t="s">
        <v>96</v>
      </c>
      <c r="U109" s="33" t="s">
        <v>96</v>
      </c>
      <c r="V109" s="63"/>
    </row>
    <row r="110" spans="2:32" ht="35.1" customHeight="1" thickBot="1" x14ac:dyDescent="0.35">
      <c r="B110" s="223"/>
      <c r="C110" s="224" t="s">
        <v>195</v>
      </c>
      <c r="D110" s="292">
        <f>I83</f>
        <v>1700</v>
      </c>
      <c r="E110" s="225" t="s">
        <v>326</v>
      </c>
      <c r="F110" s="221"/>
      <c r="G110" s="221"/>
      <c r="H110" s="566" t="s">
        <v>327</v>
      </c>
      <c r="I110" s="567"/>
      <c r="J110" s="568"/>
      <c r="K110" s="221"/>
      <c r="L110" s="254" t="s">
        <v>328</v>
      </c>
      <c r="M110" s="255" t="s">
        <v>329</v>
      </c>
      <c r="N110" s="255" t="s">
        <v>330</v>
      </c>
      <c r="O110" s="256" t="s">
        <v>331</v>
      </c>
      <c r="P110" s="569" t="s">
        <v>129</v>
      </c>
      <c r="Q110" s="570"/>
      <c r="R110" s="221"/>
      <c r="S110" s="226"/>
      <c r="T110" s="221"/>
      <c r="U110" s="226"/>
      <c r="V110" s="227"/>
    </row>
    <row r="111" spans="2:32" ht="35.1" customHeight="1" x14ac:dyDescent="0.3">
      <c r="B111" s="228"/>
      <c r="C111" s="205" t="s">
        <v>332</v>
      </c>
      <c r="D111" s="163">
        <f>Q72</f>
        <v>171</v>
      </c>
      <c r="E111" s="206" t="s">
        <v>333</v>
      </c>
      <c r="F111"/>
      <c r="G111"/>
      <c r="H111" s="214" t="s">
        <v>133</v>
      </c>
      <c r="I111" s="207">
        <f>H12</f>
        <v>1225</v>
      </c>
      <c r="J111" s="208" t="s">
        <v>334</v>
      </c>
      <c r="K111"/>
      <c r="L111" s="214" t="s">
        <v>349</v>
      </c>
      <c r="M111" s="218">
        <f>MAX(O22:O71)</f>
        <v>9584.6195825164341</v>
      </c>
      <c r="N111" s="219">
        <f>10000</f>
        <v>10000</v>
      </c>
      <c r="O111" s="216">
        <f t="shared" ref="O111:O116" si="41">M111/N111</f>
        <v>0.95846195825164338</v>
      </c>
      <c r="P111" s="585" t="s">
        <v>417</v>
      </c>
      <c r="Q111" s="586"/>
      <c r="V111" s="229"/>
    </row>
    <row r="112" spans="2:32" ht="35.1" customHeight="1" x14ac:dyDescent="0.3">
      <c r="B112" s="228"/>
      <c r="C112" s="205" t="s">
        <v>335</v>
      </c>
      <c r="D112" s="163">
        <f>D110/D111*24</f>
        <v>238.59649122807019</v>
      </c>
      <c r="E112" s="206" t="s">
        <v>336</v>
      </c>
      <c r="F112"/>
      <c r="G112"/>
      <c r="H112" s="211" t="s">
        <v>196</v>
      </c>
      <c r="I112" s="2">
        <f>H10+H55+H22</f>
        <v>7500</v>
      </c>
      <c r="J112" s="8" t="s">
        <v>334</v>
      </c>
      <c r="K112"/>
      <c r="L112" s="211" t="s">
        <v>350</v>
      </c>
      <c r="M112" s="74">
        <f>MAX(O74:O78)</f>
        <v>5499.7575228780725</v>
      </c>
      <c r="N112" s="31">
        <f>6300</f>
        <v>6300</v>
      </c>
      <c r="O112" s="217">
        <f t="shared" si="41"/>
        <v>0.87297738458382101</v>
      </c>
      <c r="P112" s="587"/>
      <c r="Q112" s="588"/>
      <c r="V112" s="229"/>
    </row>
    <row r="113" spans="2:22" ht="35.1" customHeight="1" x14ac:dyDescent="0.3">
      <c r="B113" s="228"/>
      <c r="C113" s="205" t="s">
        <v>337</v>
      </c>
      <c r="D113" s="2">
        <v>8</v>
      </c>
      <c r="E113" s="206" t="s">
        <v>338</v>
      </c>
      <c r="F113"/>
      <c r="G113"/>
      <c r="H113" s="211" t="s">
        <v>203</v>
      </c>
      <c r="I113" s="2">
        <f>H17+H33+H36-250+H38+H40-10+H53+H54+H56-180+H60+H62+H65+H67-3+H69-10+H100+H63</f>
        <v>14800</v>
      </c>
      <c r="J113" s="8" t="s">
        <v>334</v>
      </c>
      <c r="K113"/>
      <c r="L113" s="211" t="s">
        <v>391</v>
      </c>
      <c r="M113" s="74">
        <f>MAX(O86:O89)</f>
        <v>4082.5763831544177</v>
      </c>
      <c r="N113" s="31">
        <v>10000</v>
      </c>
      <c r="O113" s="217">
        <f t="shared" si="41"/>
        <v>0.40825763831544176</v>
      </c>
      <c r="P113" s="587"/>
      <c r="Q113" s="588"/>
      <c r="V113" s="229"/>
    </row>
    <row r="114" spans="2:22" ht="35.1" customHeight="1" x14ac:dyDescent="0.3">
      <c r="B114" s="228"/>
      <c r="C114" s="209" t="s">
        <v>339</v>
      </c>
      <c r="D114" s="163">
        <f>D113*D112</f>
        <v>1908.7719298245615</v>
      </c>
      <c r="E114" s="206" t="s">
        <v>336</v>
      </c>
      <c r="F114"/>
      <c r="G114"/>
      <c r="H114" s="211" t="s">
        <v>139</v>
      </c>
      <c r="I114" s="2">
        <f>H25</f>
        <v>21</v>
      </c>
      <c r="J114" s="8" t="s">
        <v>334</v>
      </c>
      <c r="K114"/>
      <c r="L114" s="211" t="s">
        <v>381</v>
      </c>
      <c r="M114" s="74">
        <f>MAX(O92:O95)</f>
        <v>3683.3333333333335</v>
      </c>
      <c r="N114" s="31">
        <v>10000</v>
      </c>
      <c r="O114" s="217">
        <f t="shared" si="41"/>
        <v>0.36833333333333335</v>
      </c>
      <c r="P114" s="587"/>
      <c r="Q114" s="588"/>
      <c r="R114" s="282"/>
      <c r="V114" s="229"/>
    </row>
    <row r="115" spans="2:22" ht="35.1" customHeight="1" x14ac:dyDescent="0.3">
      <c r="B115" s="228"/>
      <c r="C115" s="205" t="s">
        <v>340</v>
      </c>
      <c r="D115" s="163">
        <v>27.5</v>
      </c>
      <c r="E115" s="206" t="s">
        <v>341</v>
      </c>
      <c r="F115"/>
      <c r="G115"/>
      <c r="H115" s="211" t="s">
        <v>132</v>
      </c>
      <c r="I115" s="2">
        <f>H11</f>
        <v>875</v>
      </c>
      <c r="J115" s="8" t="s">
        <v>334</v>
      </c>
      <c r="K115"/>
      <c r="L115" s="211" t="s">
        <v>383</v>
      </c>
      <c r="M115" s="74">
        <f>MAX(O98:O101)</f>
        <v>2941.1764705882356</v>
      </c>
      <c r="N115" s="31">
        <v>3000</v>
      </c>
      <c r="O115" s="217">
        <f t="shared" si="41"/>
        <v>0.98039215686274517</v>
      </c>
      <c r="P115" s="587"/>
      <c r="Q115" s="588"/>
      <c r="V115" s="229"/>
    </row>
    <row r="116" spans="2:22" ht="35.1" customHeight="1" thickBot="1" x14ac:dyDescent="0.35">
      <c r="B116" s="228"/>
      <c r="C116" s="210" t="s">
        <v>342</v>
      </c>
      <c r="D116" s="293">
        <f>D114*D115/1000</f>
        <v>52.491228070175445</v>
      </c>
      <c r="E116" s="241" t="s">
        <v>343</v>
      </c>
      <c r="F116"/>
      <c r="G116"/>
      <c r="H116" s="211" t="s">
        <v>199</v>
      </c>
      <c r="I116" s="2">
        <f>H18</f>
        <v>250</v>
      </c>
      <c r="J116" s="8" t="s">
        <v>334</v>
      </c>
      <c r="K116"/>
      <c r="L116" s="257" t="s">
        <v>351</v>
      </c>
      <c r="M116" s="258">
        <f>MAX(O104:O108)</f>
        <v>2314.8148148148148</v>
      </c>
      <c r="N116" s="259">
        <v>10000</v>
      </c>
      <c r="O116" s="260">
        <f t="shared" si="41"/>
        <v>0.23148148148148148</v>
      </c>
      <c r="P116" s="589"/>
      <c r="Q116" s="590"/>
      <c r="V116" s="229"/>
    </row>
    <row r="117" spans="2:22" ht="35.1" customHeight="1" x14ac:dyDescent="0.3">
      <c r="B117" s="228"/>
      <c r="F117"/>
      <c r="G117"/>
      <c r="H117" s="211" t="s">
        <v>200</v>
      </c>
      <c r="I117" s="2">
        <f>H26</f>
        <v>30</v>
      </c>
      <c r="J117" s="8" t="s">
        <v>334</v>
      </c>
      <c r="K117"/>
      <c r="V117" s="229"/>
    </row>
    <row r="118" spans="2:22" ht="35.1" customHeight="1" x14ac:dyDescent="0.3">
      <c r="B118" s="228"/>
      <c r="F118"/>
      <c r="G118"/>
      <c r="H118" s="211" t="s">
        <v>344</v>
      </c>
      <c r="I118" s="2">
        <f>20</f>
        <v>20</v>
      </c>
      <c r="J118" s="8" t="s">
        <v>334</v>
      </c>
      <c r="K118"/>
      <c r="V118" s="229"/>
    </row>
    <row r="119" spans="2:22" ht="35.1" customHeight="1" x14ac:dyDescent="0.3">
      <c r="B119" s="228"/>
      <c r="F119"/>
      <c r="G119"/>
      <c r="H119" s="211" t="s">
        <v>345</v>
      </c>
      <c r="I119" s="2">
        <f>180</f>
        <v>180</v>
      </c>
      <c r="J119" s="8" t="s">
        <v>334</v>
      </c>
      <c r="K119"/>
      <c r="V119" s="229"/>
    </row>
    <row r="120" spans="2:22" ht="35.1" customHeight="1" x14ac:dyDescent="0.3">
      <c r="B120" s="228"/>
      <c r="F120"/>
      <c r="G120"/>
      <c r="H120" s="211" t="s">
        <v>346</v>
      </c>
      <c r="I120" s="2">
        <f>H105</f>
        <v>250</v>
      </c>
      <c r="J120" s="8" t="s">
        <v>334</v>
      </c>
      <c r="K120"/>
      <c r="V120" s="229"/>
    </row>
    <row r="121" spans="2:22" ht="35.1" customHeight="1" x14ac:dyDescent="0.3">
      <c r="B121" s="228"/>
      <c r="F121"/>
      <c r="G121"/>
      <c r="H121" s="211" t="s">
        <v>202</v>
      </c>
      <c r="I121" s="2">
        <f>H36-1000+H93</f>
        <v>1550</v>
      </c>
      <c r="J121" s="8" t="s">
        <v>334</v>
      </c>
      <c r="K121"/>
      <c r="V121" s="229"/>
    </row>
    <row r="122" spans="2:22" ht="35.1" customHeight="1" x14ac:dyDescent="0.3">
      <c r="B122" s="228"/>
      <c r="F122"/>
      <c r="G122"/>
      <c r="H122" s="211" t="s">
        <v>137</v>
      </c>
      <c r="I122" s="2">
        <f>H45</f>
        <v>2000</v>
      </c>
      <c r="J122" s="8" t="s">
        <v>334</v>
      </c>
      <c r="K122"/>
      <c r="V122" s="229"/>
    </row>
    <row r="123" spans="2:22" ht="35.1" customHeight="1" x14ac:dyDescent="0.3">
      <c r="B123" s="228"/>
      <c r="F123"/>
      <c r="G123"/>
      <c r="H123" s="211" t="s">
        <v>347</v>
      </c>
      <c r="I123" s="2">
        <f>H47</f>
        <v>85</v>
      </c>
      <c r="J123" s="8" t="s">
        <v>334</v>
      </c>
      <c r="K123"/>
      <c r="V123" s="229"/>
    </row>
    <row r="124" spans="2:22" ht="35.1" customHeight="1" x14ac:dyDescent="0.3">
      <c r="B124" s="228"/>
      <c r="F124"/>
      <c r="G124"/>
      <c r="H124" s="211" t="s">
        <v>348</v>
      </c>
      <c r="I124" s="2">
        <f>10</f>
        <v>10</v>
      </c>
      <c r="J124" s="8" t="s">
        <v>334</v>
      </c>
      <c r="K124"/>
      <c r="V124" s="229"/>
    </row>
    <row r="125" spans="2:22" ht="35.1" customHeight="1" thickBot="1" x14ac:dyDescent="0.35">
      <c r="B125" s="228"/>
      <c r="F125"/>
      <c r="G125"/>
      <c r="H125" s="215" t="s">
        <v>146</v>
      </c>
      <c r="I125" s="212">
        <v>3</v>
      </c>
      <c r="J125" s="213" t="s">
        <v>334</v>
      </c>
      <c r="K125"/>
      <c r="V125" s="229"/>
    </row>
    <row r="126" spans="2:22" ht="35.1" customHeight="1" x14ac:dyDescent="0.3">
      <c r="B126" s="228"/>
      <c r="F126"/>
      <c r="G126"/>
      <c r="K126"/>
      <c r="V126" s="229"/>
    </row>
    <row r="127" spans="2:22" ht="35.1" customHeight="1" thickBot="1" x14ac:dyDescent="0.35">
      <c r="B127" s="230"/>
      <c r="C127" s="220"/>
      <c r="D127" s="231"/>
      <c r="E127" s="231"/>
      <c r="F127" s="220"/>
      <c r="G127" s="220"/>
      <c r="H127" s="231"/>
      <c r="I127" s="220"/>
      <c r="J127" s="220"/>
      <c r="K127" s="220"/>
      <c r="L127" s="231"/>
      <c r="M127" s="220"/>
      <c r="N127" s="231"/>
      <c r="O127" s="231"/>
      <c r="P127" s="231"/>
      <c r="Q127" s="231"/>
      <c r="R127" s="220"/>
      <c r="S127" s="231"/>
      <c r="T127" s="220"/>
      <c r="U127" s="231"/>
      <c r="V127" s="232"/>
    </row>
    <row r="128" spans="2:22" ht="35.1" customHeight="1" x14ac:dyDescent="0.3">
      <c r="F128"/>
      <c r="G128"/>
      <c r="K128"/>
    </row>
  </sheetData>
  <mergeCells count="72">
    <mergeCell ref="P111:Q116"/>
    <mergeCell ref="R23:R24"/>
    <mergeCell ref="S23:S24"/>
    <mergeCell ref="T23:T24"/>
    <mergeCell ref="U23:U24"/>
    <mergeCell ref="H110:J110"/>
    <mergeCell ref="P110:Q110"/>
    <mergeCell ref="V23:V24"/>
    <mergeCell ref="B97:C97"/>
    <mergeCell ref="AB81:AD81"/>
    <mergeCell ref="AC99:AF99"/>
    <mergeCell ref="B103:C103"/>
    <mergeCell ref="B102:C102"/>
    <mergeCell ref="B72:C72"/>
    <mergeCell ref="B79:C79"/>
    <mergeCell ref="B84:C84"/>
    <mergeCell ref="B90:C90"/>
    <mergeCell ref="B73:C73"/>
    <mergeCell ref="B80:C80"/>
    <mergeCell ref="B85:C85"/>
    <mergeCell ref="B91:C91"/>
    <mergeCell ref="B23:B24"/>
    <mergeCell ref="Y40:AA40"/>
    <mergeCell ref="U5:V6"/>
    <mergeCell ref="Q6:R6"/>
    <mergeCell ref="S6:T6"/>
    <mergeCell ref="Q7:R7"/>
    <mergeCell ref="B21:C21"/>
    <mergeCell ref="P8:Q8"/>
    <mergeCell ref="B9:C9"/>
    <mergeCell ref="B15:C15"/>
    <mergeCell ref="B16:C16"/>
    <mergeCell ref="B20:C20"/>
    <mergeCell ref="S7:T7"/>
    <mergeCell ref="Y36:AA36"/>
    <mergeCell ref="Y37:AA37"/>
    <mergeCell ref="Y38:AA38"/>
    <mergeCell ref="Y41:AA41"/>
    <mergeCell ref="C23:C24"/>
    <mergeCell ref="D23:D24"/>
    <mergeCell ref="U2:V4"/>
    <mergeCell ref="Q3:R3"/>
    <mergeCell ref="S3:T3"/>
    <mergeCell ref="Q4:R4"/>
    <mergeCell ref="S4:T4"/>
    <mergeCell ref="B2:C4"/>
    <mergeCell ref="D2:P7"/>
    <mergeCell ref="Q2:R2"/>
    <mergeCell ref="S2:T2"/>
    <mergeCell ref="B5:C5"/>
    <mergeCell ref="Q5:R5"/>
    <mergeCell ref="S5:T5"/>
    <mergeCell ref="Y35:AA35"/>
    <mergeCell ref="Y39:AA39"/>
    <mergeCell ref="Y30:AA30"/>
    <mergeCell ref="Y31:AA31"/>
    <mergeCell ref="Y32:AA32"/>
    <mergeCell ref="Y33:AA33"/>
    <mergeCell ref="Y34:AA34"/>
    <mergeCell ref="Y42:AA42"/>
    <mergeCell ref="Y43:AA43"/>
    <mergeCell ref="Y44:AA44"/>
    <mergeCell ref="Y47:AA47"/>
    <mergeCell ref="Y48:AA48"/>
    <mergeCell ref="Y55:AA55"/>
    <mergeCell ref="Y56:AA56"/>
    <mergeCell ref="Y57:AA57"/>
    <mergeCell ref="Y49:AA49"/>
    <mergeCell ref="Y50:AA50"/>
    <mergeCell ref="Y51:AA51"/>
    <mergeCell ref="Y53:AA53"/>
    <mergeCell ref="Y54:AA54"/>
  </mergeCells>
  <phoneticPr fontId="32" type="noConversion"/>
  <conditionalFormatting sqref="D2">
    <cfRule type="duplicateValues" dxfId="2" priority="1"/>
  </conditionalFormatting>
  <pageMargins left="0.7" right="0.7" top="0.75" bottom="0.75" header="0.3" footer="0.3"/>
  <pageSetup scale="14" orientation="portrait" r:id="rId1"/>
  <ignoredErrors>
    <ignoredError sqref="O20 O15 O109 O79 O84 O90 O96 O72 O10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1"/>
  <sheetViews>
    <sheetView view="pageBreakPreview" zoomScale="57" zoomScaleNormal="85" zoomScaleSheetLayoutView="55" workbookViewId="0">
      <pane ySplit="2" topLeftCell="A19" activePane="bottomLeft" state="frozen"/>
      <selection activeCell="Y19" sqref="Y19"/>
      <selection pane="bottomLeft" activeCell="B1" sqref="B1:Q1"/>
    </sheetView>
  </sheetViews>
  <sheetFormatPr defaultRowHeight="14.4" x14ac:dyDescent="0.3"/>
  <cols>
    <col min="1" max="1" width="4.77734375" customWidth="1"/>
    <col min="2" max="3" width="12.21875" customWidth="1"/>
    <col min="4" max="4" width="13.77734375" customWidth="1"/>
    <col min="5" max="5" width="10" customWidth="1"/>
    <col min="13" max="13" width="10.5546875" customWidth="1"/>
    <col min="17" max="17" width="15.5546875" customWidth="1"/>
    <col min="18" max="18" width="4.77734375" customWidth="1"/>
  </cols>
  <sheetData>
    <row r="1" spans="2:17" ht="29.4" thickBot="1" x14ac:dyDescent="0.35"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</row>
    <row r="2" spans="2:17" ht="16.2" thickBot="1" x14ac:dyDescent="0.35">
      <c r="B2" s="626" t="s">
        <v>193</v>
      </c>
      <c r="C2" s="624"/>
      <c r="D2" s="624"/>
      <c r="E2" s="145" t="s">
        <v>194</v>
      </c>
      <c r="F2" s="145"/>
      <c r="G2" s="145"/>
      <c r="H2" s="145"/>
      <c r="I2" s="145"/>
      <c r="J2" s="145"/>
      <c r="K2" s="145"/>
      <c r="L2" s="145"/>
      <c r="M2" s="145" t="s">
        <v>194</v>
      </c>
      <c r="N2" s="624" t="s">
        <v>195</v>
      </c>
      <c r="O2" s="624"/>
      <c r="P2" s="624"/>
      <c r="Q2" s="625"/>
    </row>
    <row r="3" spans="2:17" x14ac:dyDescent="0.3">
      <c r="B3" s="610"/>
      <c r="C3" s="610"/>
      <c r="D3" s="610"/>
      <c r="N3" s="610"/>
      <c r="O3" s="610"/>
      <c r="P3" s="610"/>
      <c r="Q3" s="610"/>
    </row>
    <row r="4" spans="2:17" ht="18" x14ac:dyDescent="0.3">
      <c r="B4" s="606" t="s">
        <v>211</v>
      </c>
      <c r="C4" s="606"/>
      <c r="D4" s="606"/>
      <c r="N4" s="610"/>
      <c r="O4" s="610"/>
      <c r="P4" s="610"/>
      <c r="Q4" s="610"/>
    </row>
    <row r="5" spans="2:17" ht="15" thickBot="1" x14ac:dyDescent="0.35">
      <c r="B5" s="610"/>
      <c r="C5" s="610"/>
      <c r="D5" s="610"/>
      <c r="N5" s="610"/>
      <c r="O5" s="610"/>
      <c r="P5" s="610"/>
      <c r="Q5" s="610"/>
    </row>
    <row r="6" spans="2:17" ht="14.55" customHeight="1" x14ac:dyDescent="0.3">
      <c r="B6" s="610"/>
      <c r="C6" s="610"/>
      <c r="D6" s="610"/>
      <c r="G6" s="613" t="s">
        <v>403</v>
      </c>
      <c r="H6" s="598"/>
      <c r="I6" s="598"/>
      <c r="J6" s="598"/>
      <c r="K6" s="599"/>
      <c r="L6" s="146"/>
      <c r="N6" s="610"/>
      <c r="O6" s="610"/>
      <c r="P6" s="610"/>
      <c r="Q6" s="610"/>
    </row>
    <row r="7" spans="2:17" ht="14.55" customHeight="1" x14ac:dyDescent="0.3">
      <c r="B7" s="610"/>
      <c r="C7" s="610"/>
      <c r="D7" s="610"/>
      <c r="G7" s="600"/>
      <c r="H7" s="601"/>
      <c r="I7" s="601"/>
      <c r="J7" s="601"/>
      <c r="K7" s="602"/>
      <c r="L7" s="146"/>
      <c r="M7" s="13"/>
      <c r="N7" s="610"/>
      <c r="O7" s="610"/>
      <c r="P7" s="610"/>
      <c r="Q7" s="610"/>
    </row>
    <row r="8" spans="2:17" ht="15.6" x14ac:dyDescent="0.3">
      <c r="B8" s="596" t="s">
        <v>196</v>
      </c>
      <c r="C8" s="596"/>
      <c r="D8" s="596"/>
      <c r="E8" s="147">
        <f>xx!H10</f>
        <v>1200</v>
      </c>
      <c r="F8" s="143"/>
      <c r="G8" s="600"/>
      <c r="H8" s="601"/>
      <c r="I8" s="601"/>
      <c r="J8" s="601"/>
      <c r="K8" s="602"/>
      <c r="L8" s="146"/>
      <c r="M8" s="13"/>
      <c r="N8" s="610"/>
      <c r="O8" s="610"/>
      <c r="P8" s="610"/>
      <c r="Q8" s="610"/>
    </row>
    <row r="9" spans="2:17" ht="15.6" x14ac:dyDescent="0.3">
      <c r="B9" s="596" t="s">
        <v>132</v>
      </c>
      <c r="C9" s="596"/>
      <c r="D9" s="596"/>
      <c r="E9" s="147">
        <f>xx!H11</f>
        <v>875</v>
      </c>
      <c r="F9" s="143"/>
      <c r="G9" s="600"/>
      <c r="H9" s="601"/>
      <c r="I9" s="601"/>
      <c r="J9" s="601"/>
      <c r="K9" s="602"/>
      <c r="L9" s="143"/>
      <c r="M9" s="147"/>
      <c r="N9" s="611"/>
      <c r="O9" s="611"/>
      <c r="P9" s="611"/>
      <c r="Q9" s="611"/>
    </row>
    <row r="10" spans="2:17" ht="15.6" x14ac:dyDescent="0.3">
      <c r="B10" s="596" t="s">
        <v>133</v>
      </c>
      <c r="C10" s="596"/>
      <c r="D10" s="596"/>
      <c r="E10" s="147">
        <f>xx!H12</f>
        <v>1225</v>
      </c>
      <c r="F10" s="143"/>
      <c r="G10" s="600"/>
      <c r="H10" s="601"/>
      <c r="I10" s="601"/>
      <c r="J10" s="601"/>
      <c r="K10" s="602"/>
      <c r="L10" s="146"/>
      <c r="M10" s="13"/>
      <c r="N10" s="610"/>
      <c r="O10" s="610"/>
      <c r="P10" s="610"/>
      <c r="Q10" s="610"/>
    </row>
    <row r="11" spans="2:17" ht="14.55" customHeight="1" x14ac:dyDescent="0.3">
      <c r="B11" s="669"/>
      <c r="C11" s="669"/>
      <c r="D11" s="669"/>
      <c r="F11" s="143"/>
      <c r="G11" s="600"/>
      <c r="H11" s="601"/>
      <c r="I11" s="601"/>
      <c r="J11" s="601"/>
      <c r="K11" s="602"/>
      <c r="L11" s="146"/>
      <c r="M11" s="13"/>
      <c r="N11" s="610"/>
      <c r="O11" s="610"/>
      <c r="P11" s="610"/>
      <c r="Q11" s="610"/>
    </row>
    <row r="12" spans="2:17" ht="14.55" customHeight="1" x14ac:dyDescent="0.3">
      <c r="B12" s="669"/>
      <c r="C12" s="669"/>
      <c r="D12" s="669"/>
      <c r="G12" s="600"/>
      <c r="H12" s="601"/>
      <c r="I12" s="601"/>
      <c r="J12" s="601"/>
      <c r="K12" s="602"/>
      <c r="L12" s="146"/>
      <c r="M12" s="13"/>
      <c r="N12" s="610"/>
      <c r="O12" s="610"/>
      <c r="P12" s="610"/>
      <c r="Q12" s="610"/>
    </row>
    <row r="13" spans="2:17" ht="15" customHeight="1" thickBot="1" x14ac:dyDescent="0.35">
      <c r="B13" s="669"/>
      <c r="C13" s="669"/>
      <c r="D13" s="669"/>
      <c r="G13" s="603"/>
      <c r="H13" s="604"/>
      <c r="I13" s="604"/>
      <c r="J13" s="604"/>
      <c r="K13" s="605"/>
      <c r="L13" s="146"/>
      <c r="M13" s="13"/>
      <c r="N13" s="610"/>
      <c r="O13" s="610"/>
      <c r="P13" s="610"/>
      <c r="Q13" s="610"/>
    </row>
    <row r="14" spans="2:17" x14ac:dyDescent="0.3">
      <c r="B14" s="669"/>
      <c r="C14" s="669"/>
      <c r="D14" s="669"/>
      <c r="M14" s="13"/>
      <c r="N14" s="610"/>
      <c r="O14" s="610"/>
      <c r="P14" s="610"/>
      <c r="Q14" s="610"/>
    </row>
    <row r="15" spans="2:17" x14ac:dyDescent="0.3">
      <c r="B15" s="610"/>
      <c r="C15" s="610"/>
      <c r="D15" s="610"/>
      <c r="N15" s="610"/>
      <c r="O15" s="610"/>
      <c r="P15" s="610"/>
      <c r="Q15" s="610"/>
    </row>
    <row r="16" spans="2:17" ht="15.6" x14ac:dyDescent="0.3">
      <c r="B16" s="610"/>
      <c r="C16" s="610"/>
      <c r="D16" s="610"/>
      <c r="J16" s="609" t="s">
        <v>215</v>
      </c>
      <c r="K16" s="609"/>
      <c r="L16" s="153">
        <f>xx!J15</f>
        <v>3300</v>
      </c>
      <c r="N16" s="610"/>
      <c r="O16" s="610"/>
      <c r="P16" s="610"/>
      <c r="Q16" s="610"/>
    </row>
    <row r="17" spans="1:17" ht="18" x14ac:dyDescent="0.3">
      <c r="B17" s="606" t="s">
        <v>212</v>
      </c>
      <c r="C17" s="606"/>
      <c r="D17" s="606"/>
      <c r="M17" s="13"/>
      <c r="N17" s="610"/>
      <c r="O17" s="610"/>
      <c r="P17" s="610"/>
      <c r="Q17" s="610"/>
    </row>
    <row r="18" spans="1:17" ht="16.2" thickBot="1" x14ac:dyDescent="0.35">
      <c r="B18" s="596"/>
      <c r="C18" s="596"/>
      <c r="D18" s="596"/>
      <c r="M18" s="13"/>
      <c r="N18" s="595"/>
      <c r="O18" s="595"/>
      <c r="P18" s="595"/>
      <c r="Q18" s="595"/>
    </row>
    <row r="19" spans="1:17" ht="18.75" customHeight="1" x14ac:dyDescent="0.3">
      <c r="B19" s="596"/>
      <c r="C19" s="596"/>
      <c r="D19" s="596"/>
      <c r="G19" s="597" t="s">
        <v>410</v>
      </c>
      <c r="H19" s="598"/>
      <c r="I19" s="598"/>
      <c r="J19" s="598"/>
      <c r="K19" s="599"/>
      <c r="M19" s="13"/>
      <c r="N19" s="610"/>
      <c r="O19" s="610"/>
      <c r="P19" s="610"/>
      <c r="Q19" s="610"/>
    </row>
    <row r="20" spans="1:17" ht="15.6" customHeight="1" x14ac:dyDescent="0.3">
      <c r="A20" s="151"/>
      <c r="B20" s="596" t="s">
        <v>196</v>
      </c>
      <c r="C20" s="596"/>
      <c r="D20" s="596"/>
      <c r="E20" s="147">
        <f>xx!H22</f>
        <v>3500</v>
      </c>
      <c r="F20" s="143"/>
      <c r="G20" s="600"/>
      <c r="H20" s="601"/>
      <c r="I20" s="601"/>
      <c r="J20" s="601"/>
      <c r="K20" s="602"/>
      <c r="M20" s="13"/>
      <c r="N20" s="611"/>
      <c r="O20" s="611"/>
      <c r="P20" s="611"/>
      <c r="Q20" s="611"/>
    </row>
    <row r="21" spans="1:17" ht="15.6" customHeight="1" x14ac:dyDescent="0.3">
      <c r="A21" s="151"/>
      <c r="B21" s="596" t="s">
        <v>401</v>
      </c>
      <c r="C21" s="596"/>
      <c r="D21" s="596"/>
      <c r="E21" s="147">
        <f>xx!H23</f>
        <v>1200</v>
      </c>
      <c r="F21" s="143"/>
      <c r="G21" s="600"/>
      <c r="H21" s="601"/>
      <c r="I21" s="601"/>
      <c r="J21" s="601"/>
      <c r="K21" s="602"/>
      <c r="L21" s="143"/>
      <c r="M21" s="147">
        <f>xx!I42</f>
        <v>2000</v>
      </c>
      <c r="N21" s="611" t="s">
        <v>221</v>
      </c>
      <c r="O21" s="611"/>
      <c r="P21" s="611"/>
      <c r="Q21" s="611"/>
    </row>
    <row r="22" spans="1:17" ht="15.6" customHeight="1" x14ac:dyDescent="0.3">
      <c r="A22" s="151"/>
      <c r="B22" s="596" t="s">
        <v>402</v>
      </c>
      <c r="C22" s="596"/>
      <c r="D22" s="596"/>
      <c r="E22" s="147">
        <f>xx!H24</f>
        <v>250</v>
      </c>
      <c r="F22" s="143"/>
      <c r="G22" s="600"/>
      <c r="H22" s="601"/>
      <c r="I22" s="601"/>
      <c r="J22" s="601"/>
      <c r="K22" s="602"/>
      <c r="L22" s="143"/>
      <c r="M22" s="147">
        <f>xx!I44</f>
        <v>1100</v>
      </c>
      <c r="N22" s="611" t="s">
        <v>222</v>
      </c>
      <c r="O22" s="611"/>
      <c r="P22" s="611"/>
      <c r="Q22" s="611"/>
    </row>
    <row r="23" spans="1:17" ht="15.6" customHeight="1" x14ac:dyDescent="0.3">
      <c r="A23" s="151"/>
      <c r="B23" s="596" t="s">
        <v>139</v>
      </c>
      <c r="C23" s="596"/>
      <c r="D23" s="596"/>
      <c r="E23" s="147">
        <f>xx!H25</f>
        <v>21</v>
      </c>
      <c r="F23" s="143"/>
      <c r="G23" s="600"/>
      <c r="H23" s="601"/>
      <c r="I23" s="601"/>
      <c r="J23" s="601"/>
      <c r="K23" s="602"/>
      <c r="L23" s="143"/>
      <c r="M23" s="147"/>
      <c r="N23" s="611"/>
      <c r="O23" s="611"/>
      <c r="P23" s="611"/>
      <c r="Q23" s="611"/>
    </row>
    <row r="24" spans="1:17" ht="15.6" customHeight="1" x14ac:dyDescent="0.3">
      <c r="A24" s="151"/>
      <c r="B24" s="596" t="s">
        <v>200</v>
      </c>
      <c r="C24" s="596"/>
      <c r="D24" s="596"/>
      <c r="E24" s="147">
        <f>xx!H26</f>
        <v>30</v>
      </c>
      <c r="F24" s="143"/>
      <c r="G24" s="600"/>
      <c r="H24" s="601"/>
      <c r="I24" s="601"/>
      <c r="J24" s="601"/>
      <c r="K24" s="602"/>
      <c r="L24" s="143"/>
      <c r="M24" s="147"/>
      <c r="N24" s="611"/>
      <c r="O24" s="611"/>
      <c r="P24" s="611"/>
      <c r="Q24" s="611"/>
    </row>
    <row r="25" spans="1:17" ht="15.6" customHeight="1" x14ac:dyDescent="0.3">
      <c r="A25" s="151"/>
      <c r="B25" s="596" t="s">
        <v>207</v>
      </c>
      <c r="C25" s="596"/>
      <c r="D25" s="596"/>
      <c r="E25" s="147">
        <f>xx!H33</f>
        <v>500</v>
      </c>
      <c r="F25" s="143"/>
      <c r="G25" s="600"/>
      <c r="H25" s="601"/>
      <c r="I25" s="601"/>
      <c r="J25" s="601"/>
      <c r="K25" s="602"/>
      <c r="L25" s="143"/>
      <c r="M25" s="147"/>
      <c r="N25" s="611"/>
      <c r="O25" s="611"/>
      <c r="P25" s="611"/>
      <c r="Q25" s="611"/>
    </row>
    <row r="26" spans="1:17" ht="15.6" customHeight="1" x14ac:dyDescent="0.3">
      <c r="A26" s="151"/>
      <c r="B26" s="596" t="s">
        <v>216</v>
      </c>
      <c r="C26" s="596"/>
      <c r="D26" s="596"/>
      <c r="E26" s="147">
        <f>xx!H36</f>
        <v>1250</v>
      </c>
      <c r="F26" s="143"/>
      <c r="G26" s="600"/>
      <c r="H26" s="601"/>
      <c r="I26" s="601"/>
      <c r="J26" s="601"/>
      <c r="K26" s="602"/>
      <c r="L26" s="143"/>
      <c r="M26" s="147"/>
      <c r="N26" s="611"/>
      <c r="O26" s="611"/>
      <c r="P26" s="611"/>
      <c r="Q26" s="611"/>
    </row>
    <row r="27" spans="1:17" ht="15.6" customHeight="1" x14ac:dyDescent="0.3">
      <c r="A27" s="151"/>
      <c r="B27" s="596" t="s">
        <v>208</v>
      </c>
      <c r="C27" s="596"/>
      <c r="D27" s="596"/>
      <c r="E27" s="147">
        <f>xx!H38</f>
        <v>1500</v>
      </c>
      <c r="F27" s="143"/>
      <c r="G27" s="600"/>
      <c r="H27" s="601"/>
      <c r="I27" s="601"/>
      <c r="J27" s="601"/>
      <c r="K27" s="602"/>
      <c r="L27" s="143"/>
      <c r="M27" s="147"/>
      <c r="N27" s="611"/>
      <c r="O27" s="611"/>
      <c r="P27" s="611"/>
      <c r="Q27" s="611"/>
    </row>
    <row r="28" spans="1:17" ht="16.05" customHeight="1" x14ac:dyDescent="0.3">
      <c r="A28" s="151"/>
      <c r="B28" s="596" t="s">
        <v>219</v>
      </c>
      <c r="C28" s="596"/>
      <c r="D28" s="596"/>
      <c r="E28" s="147">
        <f>xx!H40</f>
        <v>1510</v>
      </c>
      <c r="F28" s="143"/>
      <c r="G28" s="600"/>
      <c r="H28" s="601"/>
      <c r="I28" s="601"/>
      <c r="J28" s="601"/>
      <c r="K28" s="602"/>
      <c r="L28" s="143"/>
      <c r="M28" s="147"/>
      <c r="N28" s="611"/>
      <c r="O28" s="611"/>
      <c r="P28" s="611"/>
      <c r="Q28" s="611"/>
    </row>
    <row r="29" spans="1:17" ht="15.6" customHeight="1" x14ac:dyDescent="0.3">
      <c r="A29" s="151"/>
      <c r="B29" s="596" t="s">
        <v>137</v>
      </c>
      <c r="C29" s="596"/>
      <c r="D29" s="596"/>
      <c r="E29" s="147">
        <f>xx!H45</f>
        <v>2000</v>
      </c>
      <c r="F29" s="143"/>
      <c r="G29" s="600"/>
      <c r="H29" s="601"/>
      <c r="I29" s="601"/>
      <c r="J29" s="601"/>
      <c r="K29" s="602"/>
      <c r="L29" s="143"/>
      <c r="M29" s="147">
        <f>xx!I70</f>
        <v>1767</v>
      </c>
      <c r="N29" s="156" t="s">
        <v>235</v>
      </c>
      <c r="O29" s="156"/>
      <c r="P29" s="156"/>
      <c r="Q29" s="156"/>
    </row>
    <row r="30" spans="1:17" ht="15.6" customHeight="1" x14ac:dyDescent="0.3">
      <c r="A30" s="151"/>
      <c r="B30" s="596" t="s">
        <v>206</v>
      </c>
      <c r="C30" s="596"/>
      <c r="D30" s="596"/>
      <c r="E30" s="147">
        <f>xx!H47</f>
        <v>85</v>
      </c>
      <c r="F30" s="143"/>
      <c r="G30" s="600"/>
      <c r="H30" s="601"/>
      <c r="I30" s="601"/>
      <c r="J30" s="601"/>
      <c r="K30" s="602"/>
      <c r="L30" s="143"/>
      <c r="M30" s="147">
        <f>xx!I68</f>
        <v>1800</v>
      </c>
      <c r="N30" s="156" t="s">
        <v>233</v>
      </c>
      <c r="O30" s="156"/>
      <c r="P30" s="156"/>
      <c r="Q30" s="156"/>
    </row>
    <row r="31" spans="1:17" ht="16.05" customHeight="1" x14ac:dyDescent="0.3">
      <c r="A31" s="151"/>
      <c r="B31" s="596" t="s">
        <v>201</v>
      </c>
      <c r="C31" s="596"/>
      <c r="D31" s="596"/>
      <c r="E31" s="147">
        <f>xx!H48</f>
        <v>5</v>
      </c>
      <c r="F31" s="143"/>
      <c r="G31" s="600"/>
      <c r="H31" s="601"/>
      <c r="I31" s="601"/>
      <c r="J31" s="601"/>
      <c r="K31" s="602"/>
      <c r="L31" s="143"/>
      <c r="M31" s="147">
        <f>xx!I66</f>
        <v>1800</v>
      </c>
      <c r="N31" s="156" t="s">
        <v>231</v>
      </c>
      <c r="O31" s="156"/>
      <c r="P31" s="156"/>
      <c r="Q31" s="156"/>
    </row>
    <row r="32" spans="1:17" ht="15.6" customHeight="1" x14ac:dyDescent="0.3">
      <c r="A32" s="151"/>
      <c r="B32" s="596" t="s">
        <v>223</v>
      </c>
      <c r="C32" s="596"/>
      <c r="D32" s="596"/>
      <c r="E32" s="147">
        <f>xx!H53</f>
        <v>260</v>
      </c>
      <c r="F32" s="143"/>
      <c r="G32" s="600"/>
      <c r="H32" s="601"/>
      <c r="I32" s="601"/>
      <c r="J32" s="601"/>
      <c r="K32" s="602"/>
      <c r="L32" s="143"/>
      <c r="M32" s="147">
        <f>xx!I64</f>
        <v>1800</v>
      </c>
      <c r="N32" s="611" t="s">
        <v>229</v>
      </c>
      <c r="O32" s="611"/>
      <c r="P32" s="611"/>
      <c r="Q32" s="611"/>
    </row>
    <row r="33" spans="1:17" ht="15.6" customHeight="1" x14ac:dyDescent="0.3">
      <c r="A33" s="151"/>
      <c r="B33" s="596" t="s">
        <v>224</v>
      </c>
      <c r="C33" s="596"/>
      <c r="D33" s="596"/>
      <c r="E33" s="147">
        <f>xx!H54</f>
        <v>260</v>
      </c>
      <c r="F33" s="143"/>
      <c r="G33" s="600"/>
      <c r="H33" s="601"/>
      <c r="I33" s="601"/>
      <c r="J33" s="601"/>
      <c r="K33" s="602"/>
      <c r="L33" s="143"/>
      <c r="M33" s="186">
        <f>xx!I62</f>
        <v>1800</v>
      </c>
      <c r="N33" s="611" t="s">
        <v>295</v>
      </c>
      <c r="O33" s="611"/>
      <c r="P33" s="611"/>
      <c r="Q33" s="611"/>
    </row>
    <row r="34" spans="1:17" ht="15.6" customHeight="1" x14ac:dyDescent="0.3">
      <c r="A34" s="151"/>
      <c r="B34" s="596" t="s">
        <v>196</v>
      </c>
      <c r="C34" s="596"/>
      <c r="D34" s="596"/>
      <c r="E34" s="147">
        <f>xx!H55</f>
        <v>2800</v>
      </c>
      <c r="F34" s="143"/>
      <c r="G34" s="600"/>
      <c r="H34" s="601"/>
      <c r="I34" s="601"/>
      <c r="J34" s="601"/>
      <c r="K34" s="602"/>
      <c r="L34" s="143"/>
      <c r="M34" s="147">
        <f>xx!I61</f>
        <v>800</v>
      </c>
      <c r="N34" s="611" t="s">
        <v>393</v>
      </c>
      <c r="O34" s="611"/>
      <c r="P34" s="611"/>
      <c r="Q34" s="611"/>
    </row>
    <row r="35" spans="1:17" ht="15.6" customHeight="1" x14ac:dyDescent="0.3">
      <c r="A35" s="151"/>
      <c r="B35" s="596" t="s">
        <v>225</v>
      </c>
      <c r="C35" s="596"/>
      <c r="D35" s="596"/>
      <c r="E35" s="147">
        <f>xx!H56</f>
        <v>260</v>
      </c>
      <c r="F35" s="143"/>
      <c r="G35" s="600"/>
      <c r="H35" s="601"/>
      <c r="I35" s="601"/>
      <c r="J35" s="601"/>
      <c r="K35" s="602"/>
      <c r="L35" s="143"/>
      <c r="M35" s="147">
        <f>xx!I59</f>
        <v>2500</v>
      </c>
      <c r="N35" s="611" t="s">
        <v>394</v>
      </c>
      <c r="O35" s="611"/>
      <c r="P35" s="611"/>
      <c r="Q35" s="611"/>
    </row>
    <row r="36" spans="1:17" ht="15.6" customHeight="1" x14ac:dyDescent="0.3">
      <c r="A36" s="151"/>
      <c r="B36" s="596" t="s">
        <v>209</v>
      </c>
      <c r="C36" s="596"/>
      <c r="D36" s="596"/>
      <c r="E36" s="147">
        <f>xx!H60</f>
        <v>500</v>
      </c>
      <c r="F36" s="143"/>
      <c r="G36" s="600"/>
      <c r="H36" s="601"/>
      <c r="I36" s="601"/>
      <c r="J36" s="601"/>
      <c r="K36" s="602"/>
      <c r="L36" s="143"/>
      <c r="M36" s="147">
        <f>xx!I41</f>
        <v>1610</v>
      </c>
      <c r="N36" s="611" t="s">
        <v>220</v>
      </c>
      <c r="O36" s="611"/>
      <c r="P36" s="611"/>
      <c r="Q36" s="611"/>
    </row>
    <row r="37" spans="1:17" ht="16.05" customHeight="1" x14ac:dyDescent="0.3">
      <c r="A37" s="151"/>
      <c r="B37" s="596" t="s">
        <v>226</v>
      </c>
      <c r="C37" s="596"/>
      <c r="D37" s="596"/>
      <c r="E37" s="147">
        <f>xx!H62</f>
        <v>1500</v>
      </c>
      <c r="F37" s="143"/>
      <c r="G37" s="600"/>
      <c r="H37" s="601"/>
      <c r="I37" s="601"/>
      <c r="J37" s="601"/>
      <c r="K37" s="602"/>
      <c r="L37" s="143"/>
      <c r="M37" s="147">
        <f>xx!I39</f>
        <v>1700</v>
      </c>
      <c r="N37" s="611" t="s">
        <v>218</v>
      </c>
      <c r="O37" s="611"/>
      <c r="P37" s="611"/>
      <c r="Q37" s="611"/>
    </row>
    <row r="38" spans="1:17" ht="15.75" customHeight="1" x14ac:dyDescent="0.3">
      <c r="A38" s="151"/>
      <c r="B38" s="666" t="s">
        <v>228</v>
      </c>
      <c r="C38" s="666"/>
      <c r="D38" s="666"/>
      <c r="E38" s="276">
        <f>xx!H63</f>
        <v>1500</v>
      </c>
      <c r="F38" s="143"/>
      <c r="G38" s="600"/>
      <c r="H38" s="601"/>
      <c r="I38" s="601"/>
      <c r="J38" s="601"/>
      <c r="K38" s="602"/>
      <c r="L38" s="143"/>
      <c r="M38" s="147">
        <f>xx!I37</f>
        <v>1300</v>
      </c>
      <c r="N38" s="611" t="s">
        <v>217</v>
      </c>
      <c r="O38" s="611"/>
      <c r="P38" s="611"/>
      <c r="Q38" s="611"/>
    </row>
    <row r="39" spans="1:17" ht="15.75" customHeight="1" x14ac:dyDescent="0.3">
      <c r="A39" s="151"/>
      <c r="B39" s="596" t="s">
        <v>230</v>
      </c>
      <c r="C39" s="596"/>
      <c r="D39" s="596"/>
      <c r="E39" s="147">
        <f>xx!H65</f>
        <v>1500</v>
      </c>
      <c r="F39" s="143"/>
      <c r="G39" s="600"/>
      <c r="H39" s="601"/>
      <c r="I39" s="601"/>
      <c r="J39" s="601"/>
      <c r="K39" s="602"/>
      <c r="L39" s="143"/>
      <c r="M39" s="147">
        <f>xx!I35</f>
        <v>600</v>
      </c>
      <c r="N39" s="611" t="s">
        <v>395</v>
      </c>
      <c r="O39" s="611"/>
      <c r="P39" s="611"/>
      <c r="Q39" s="611"/>
    </row>
    <row r="40" spans="1:17" ht="16.5" customHeight="1" x14ac:dyDescent="0.3">
      <c r="A40" s="151"/>
      <c r="B40" s="596" t="s">
        <v>232</v>
      </c>
      <c r="C40" s="596"/>
      <c r="D40" s="596"/>
      <c r="E40" s="147">
        <f>xx!H67</f>
        <v>1503</v>
      </c>
      <c r="F40" s="143"/>
      <c r="G40" s="600"/>
      <c r="H40" s="601"/>
      <c r="I40" s="601"/>
      <c r="J40" s="601"/>
      <c r="K40" s="602"/>
      <c r="L40" s="143"/>
      <c r="M40" s="147">
        <f>xx!I32</f>
        <v>2000</v>
      </c>
      <c r="N40" s="611" t="s">
        <v>396</v>
      </c>
      <c r="O40" s="611"/>
      <c r="P40" s="611"/>
      <c r="Q40" s="611"/>
    </row>
    <row r="41" spans="1:17" ht="15.6" x14ac:dyDescent="0.3">
      <c r="B41" s="596" t="s">
        <v>234</v>
      </c>
      <c r="C41" s="596"/>
      <c r="D41" s="596"/>
      <c r="E41" s="147">
        <f>xx!H69</f>
        <v>1510</v>
      </c>
      <c r="F41" s="143"/>
      <c r="G41" s="600"/>
      <c r="H41" s="601"/>
      <c r="I41" s="601"/>
      <c r="J41" s="601"/>
      <c r="K41" s="602"/>
      <c r="M41" s="13"/>
      <c r="N41" s="612"/>
      <c r="O41" s="612"/>
      <c r="P41" s="612"/>
      <c r="Q41" s="612"/>
    </row>
    <row r="42" spans="1:17" ht="16.2" thickBot="1" x14ac:dyDescent="0.35">
      <c r="B42" s="596"/>
      <c r="C42" s="596"/>
      <c r="D42" s="596"/>
      <c r="G42" s="603"/>
      <c r="H42" s="604"/>
      <c r="I42" s="604"/>
      <c r="J42" s="604"/>
      <c r="K42" s="605"/>
      <c r="M42" s="147"/>
      <c r="N42" s="612"/>
      <c r="O42" s="612"/>
      <c r="P42" s="612"/>
      <c r="Q42" s="612"/>
    </row>
    <row r="43" spans="1:17" ht="15.6" x14ac:dyDescent="0.3">
      <c r="B43" s="596"/>
      <c r="C43" s="596"/>
      <c r="D43" s="596"/>
      <c r="J43" s="143"/>
      <c r="M43" s="147"/>
      <c r="N43" s="611"/>
      <c r="O43" s="611"/>
      <c r="P43" s="611"/>
      <c r="Q43" s="611"/>
    </row>
    <row r="44" spans="1:17" ht="15.6" x14ac:dyDescent="0.3">
      <c r="B44" s="610"/>
      <c r="C44" s="610"/>
      <c r="D44" s="610"/>
      <c r="J44" s="143"/>
      <c r="M44" s="147"/>
      <c r="N44" s="611"/>
      <c r="O44" s="611"/>
      <c r="P44" s="611"/>
      <c r="Q44" s="611"/>
    </row>
    <row r="45" spans="1:17" ht="15.6" x14ac:dyDescent="0.3">
      <c r="B45" s="610"/>
      <c r="C45" s="610"/>
      <c r="D45" s="610"/>
      <c r="J45" s="143"/>
      <c r="M45" s="147">
        <f>xx!I71</f>
        <v>4167</v>
      </c>
      <c r="N45" s="611" t="s">
        <v>386</v>
      </c>
      <c r="O45" s="611"/>
      <c r="P45" s="611"/>
      <c r="Q45" s="611"/>
    </row>
    <row r="46" spans="1:17" ht="15.6" x14ac:dyDescent="0.3">
      <c r="B46" s="610"/>
      <c r="C46" s="610"/>
      <c r="D46" s="610"/>
      <c r="J46" s="143"/>
      <c r="M46" s="147"/>
      <c r="N46" s="611"/>
      <c r="O46" s="611"/>
      <c r="P46" s="611"/>
      <c r="Q46" s="611"/>
    </row>
    <row r="47" spans="1:17" ht="15" thickBot="1" x14ac:dyDescent="0.35">
      <c r="B47" s="667"/>
      <c r="C47" s="667"/>
      <c r="D47" s="667"/>
      <c r="M47" s="13"/>
      <c r="N47" s="648"/>
      <c r="O47" s="648"/>
      <c r="P47" s="648"/>
      <c r="Q47" s="648"/>
    </row>
    <row r="48" spans="1:17" ht="16.2" thickBot="1" x14ac:dyDescent="0.35">
      <c r="A48" s="148"/>
      <c r="B48" s="626" t="s">
        <v>197</v>
      </c>
      <c r="C48" s="624"/>
      <c r="D48" s="624"/>
      <c r="E48" s="145">
        <f>SUM(E6:E47)</f>
        <v>26744</v>
      </c>
      <c r="F48" s="144"/>
      <c r="G48" s="144"/>
      <c r="H48" s="144"/>
      <c r="I48" s="144"/>
      <c r="J48" s="144"/>
      <c r="K48" s="144"/>
      <c r="L48" s="144"/>
      <c r="M48" s="145">
        <f>SUM(M6:M47)</f>
        <v>26744</v>
      </c>
      <c r="N48" s="624" t="s">
        <v>198</v>
      </c>
      <c r="O48" s="624"/>
      <c r="P48" s="624"/>
      <c r="Q48" s="625"/>
    </row>
    <row r="49" spans="2:18" x14ac:dyDescent="0.3">
      <c r="B49" s="668"/>
      <c r="C49" s="668"/>
      <c r="D49" s="668"/>
      <c r="N49" s="623"/>
      <c r="O49" s="623"/>
      <c r="P49" s="623"/>
      <c r="Q49" s="623"/>
    </row>
    <row r="50" spans="2:18" x14ac:dyDescent="0.3">
      <c r="B50" s="610"/>
      <c r="C50" s="610"/>
      <c r="D50" s="610"/>
      <c r="N50" s="612"/>
      <c r="O50" s="612"/>
      <c r="P50" s="612"/>
      <c r="Q50" s="612"/>
      <c r="R50" s="152"/>
    </row>
    <row r="51" spans="2:18" ht="18" x14ac:dyDescent="0.3">
      <c r="B51" s="606" t="s">
        <v>213</v>
      </c>
      <c r="C51" s="606"/>
      <c r="D51" s="606"/>
      <c r="N51" s="612"/>
      <c r="O51" s="612"/>
      <c r="P51" s="612"/>
      <c r="Q51" s="612"/>
    </row>
    <row r="52" spans="2:18" x14ac:dyDescent="0.3">
      <c r="B52" s="610"/>
      <c r="C52" s="610"/>
      <c r="D52" s="610"/>
      <c r="N52" s="612"/>
      <c r="O52" s="612"/>
      <c r="P52" s="612"/>
      <c r="Q52" s="612"/>
    </row>
    <row r="53" spans="2:18" ht="15" thickBot="1" x14ac:dyDescent="0.35">
      <c r="B53" s="610"/>
      <c r="C53" s="610"/>
      <c r="D53" s="610"/>
      <c r="K53" s="152"/>
      <c r="N53" s="612"/>
      <c r="O53" s="612"/>
      <c r="P53" s="612"/>
      <c r="Q53" s="612"/>
    </row>
    <row r="54" spans="2:18" x14ac:dyDescent="0.3">
      <c r="B54" s="612"/>
      <c r="C54" s="612"/>
      <c r="D54" s="612"/>
      <c r="E54" s="13"/>
      <c r="G54" s="637" t="s">
        <v>352</v>
      </c>
      <c r="H54" s="658"/>
      <c r="I54" s="658"/>
      <c r="J54" s="658"/>
      <c r="K54" s="659"/>
      <c r="N54" s="612"/>
      <c r="O54" s="612"/>
      <c r="P54" s="612"/>
      <c r="Q54" s="612"/>
    </row>
    <row r="55" spans="2:18" ht="15.6" x14ac:dyDescent="0.3">
      <c r="B55" s="666" t="s">
        <v>387</v>
      </c>
      <c r="C55" s="666"/>
      <c r="D55" s="666"/>
      <c r="E55" s="276">
        <f>xx!H74</f>
        <v>4167</v>
      </c>
      <c r="F55" s="143"/>
      <c r="G55" s="660"/>
      <c r="H55" s="661"/>
      <c r="I55" s="661"/>
      <c r="J55" s="661"/>
      <c r="K55" s="662"/>
      <c r="L55" s="143"/>
      <c r="M55" s="13"/>
      <c r="N55" s="612"/>
      <c r="O55" s="612"/>
      <c r="P55" s="612"/>
      <c r="Q55" s="612"/>
    </row>
    <row r="56" spans="2:18" ht="15.6" x14ac:dyDescent="0.3">
      <c r="B56" s="612"/>
      <c r="C56" s="612"/>
      <c r="D56" s="612"/>
      <c r="E56" s="147"/>
      <c r="G56" s="660"/>
      <c r="H56" s="661"/>
      <c r="I56" s="661"/>
      <c r="J56" s="661"/>
      <c r="K56" s="662"/>
      <c r="L56" s="143"/>
      <c r="M56" s="147"/>
      <c r="N56" s="611"/>
      <c r="O56" s="611"/>
      <c r="P56" s="611"/>
      <c r="Q56" s="611"/>
    </row>
    <row r="57" spans="2:18" ht="15.6" x14ac:dyDescent="0.3">
      <c r="B57" s="596" t="s">
        <v>201</v>
      </c>
      <c r="C57" s="596"/>
      <c r="D57" s="596"/>
      <c r="E57" s="147">
        <f>xx!H76</f>
        <v>5</v>
      </c>
      <c r="F57" s="143"/>
      <c r="G57" s="660"/>
      <c r="H57" s="661"/>
      <c r="I57" s="661"/>
      <c r="J57" s="661"/>
      <c r="K57" s="662"/>
      <c r="L57" s="143"/>
      <c r="M57" s="13"/>
      <c r="N57" s="631"/>
      <c r="O57" s="631"/>
      <c r="P57" s="631"/>
      <c r="Q57" s="631"/>
    </row>
    <row r="58" spans="2:18" ht="15.6" customHeight="1" x14ac:dyDescent="0.3">
      <c r="B58" s="612"/>
      <c r="C58" s="612"/>
      <c r="D58" s="612"/>
      <c r="E58" s="13"/>
      <c r="G58" s="660"/>
      <c r="H58" s="661"/>
      <c r="I58" s="661"/>
      <c r="J58" s="661"/>
      <c r="K58" s="662"/>
      <c r="M58" s="13"/>
      <c r="N58" s="631"/>
      <c r="O58" s="631"/>
      <c r="P58" s="631"/>
      <c r="Q58" s="631"/>
    </row>
    <row r="59" spans="2:18" ht="15" thickBot="1" x14ac:dyDescent="0.35">
      <c r="B59" s="612"/>
      <c r="C59" s="612"/>
      <c r="D59" s="612"/>
      <c r="E59" s="13"/>
      <c r="G59" s="663"/>
      <c r="H59" s="664"/>
      <c r="I59" s="664"/>
      <c r="J59" s="664"/>
      <c r="K59" s="665"/>
      <c r="M59" s="13"/>
      <c r="N59" s="631"/>
      <c r="O59" s="631"/>
      <c r="P59" s="631"/>
      <c r="Q59" s="631"/>
    </row>
    <row r="60" spans="2:18" x14ac:dyDescent="0.3">
      <c r="B60" s="612"/>
      <c r="C60" s="612"/>
      <c r="D60" s="612"/>
      <c r="E60" s="13"/>
      <c r="M60" s="13"/>
      <c r="N60" s="631"/>
      <c r="O60" s="631"/>
      <c r="P60" s="631"/>
      <c r="Q60" s="631"/>
    </row>
    <row r="61" spans="2:18" ht="15.6" x14ac:dyDescent="0.3">
      <c r="B61" s="612"/>
      <c r="C61" s="612"/>
      <c r="D61" s="612"/>
      <c r="E61" s="13"/>
      <c r="J61" s="636" t="s">
        <v>215</v>
      </c>
      <c r="K61" s="636"/>
      <c r="L61" s="155">
        <f>xx!I79</f>
        <v>4172</v>
      </c>
      <c r="M61" s="13"/>
      <c r="N61" s="631"/>
      <c r="O61" s="631"/>
      <c r="P61" s="631"/>
      <c r="Q61" s="631"/>
    </row>
    <row r="62" spans="2:18" x14ac:dyDescent="0.3">
      <c r="B62" s="612"/>
      <c r="C62" s="612"/>
      <c r="D62" s="612"/>
      <c r="N62" s="631"/>
      <c r="O62" s="631"/>
      <c r="P62" s="631"/>
      <c r="Q62" s="631"/>
    </row>
    <row r="63" spans="2:18" ht="18" x14ac:dyDescent="0.3">
      <c r="B63" s="606" t="s">
        <v>214</v>
      </c>
      <c r="C63" s="606"/>
      <c r="D63" s="606"/>
      <c r="E63" s="13"/>
      <c r="N63" s="612"/>
      <c r="O63" s="612"/>
      <c r="P63" s="612"/>
      <c r="Q63" s="612"/>
    </row>
    <row r="64" spans="2:18" ht="15" thickBot="1" x14ac:dyDescent="0.35">
      <c r="B64" s="612"/>
      <c r="C64" s="612"/>
      <c r="D64" s="612"/>
      <c r="E64" s="13"/>
      <c r="N64" s="612"/>
      <c r="O64" s="612"/>
      <c r="P64" s="612"/>
      <c r="Q64" s="612"/>
    </row>
    <row r="65" spans="2:17" ht="15.6" customHeight="1" x14ac:dyDescent="0.3">
      <c r="B65" s="612"/>
      <c r="C65" s="612"/>
      <c r="D65" s="612"/>
      <c r="E65" s="13"/>
      <c r="G65" s="613" t="s">
        <v>385</v>
      </c>
      <c r="H65" s="614"/>
      <c r="I65" s="614"/>
      <c r="J65" s="614"/>
      <c r="K65" s="615"/>
      <c r="M65" s="13"/>
      <c r="N65" s="612"/>
      <c r="O65" s="612"/>
      <c r="P65" s="612"/>
      <c r="Q65" s="612"/>
    </row>
    <row r="66" spans="2:17" ht="14.55" customHeight="1" x14ac:dyDescent="0.3">
      <c r="B66" s="612"/>
      <c r="C66" s="612"/>
      <c r="D66" s="612"/>
      <c r="E66" s="13"/>
      <c r="G66" s="616"/>
      <c r="H66" s="617"/>
      <c r="I66" s="617"/>
      <c r="J66" s="617"/>
      <c r="K66" s="618"/>
      <c r="M66" s="13"/>
      <c r="N66" s="612"/>
      <c r="O66" s="612"/>
      <c r="P66" s="612"/>
      <c r="Q66" s="612"/>
    </row>
    <row r="67" spans="2:17" ht="15.6" x14ac:dyDescent="0.3">
      <c r="B67" s="596"/>
      <c r="C67" s="596"/>
      <c r="D67" s="596"/>
      <c r="E67" s="147"/>
      <c r="F67" s="143"/>
      <c r="G67" s="616"/>
      <c r="H67" s="617"/>
      <c r="I67" s="617"/>
      <c r="J67" s="617"/>
      <c r="K67" s="618"/>
      <c r="L67" s="143"/>
      <c r="M67" s="147">
        <f>xx!I82</f>
        <v>2472</v>
      </c>
      <c r="N67" s="622" t="s">
        <v>204</v>
      </c>
      <c r="O67" s="622"/>
      <c r="P67" s="622"/>
      <c r="Q67" s="622"/>
    </row>
    <row r="68" spans="2:17" ht="15.6" x14ac:dyDescent="0.3">
      <c r="B68" s="596"/>
      <c r="C68" s="596"/>
      <c r="D68" s="596"/>
      <c r="E68" s="147"/>
      <c r="F68" s="143"/>
      <c r="G68" s="616"/>
      <c r="H68" s="617"/>
      <c r="I68" s="617"/>
      <c r="J68" s="617"/>
      <c r="K68" s="618"/>
      <c r="M68" s="147"/>
      <c r="N68" s="612"/>
      <c r="O68" s="612"/>
      <c r="P68" s="612"/>
      <c r="Q68" s="612"/>
    </row>
    <row r="69" spans="2:17" ht="15.6" x14ac:dyDescent="0.3">
      <c r="B69" s="612"/>
      <c r="C69" s="612"/>
      <c r="D69" s="612"/>
      <c r="E69" s="13"/>
      <c r="G69" s="616"/>
      <c r="H69" s="617"/>
      <c r="I69" s="617"/>
      <c r="J69" s="617"/>
      <c r="K69" s="618"/>
      <c r="M69" s="147"/>
      <c r="N69" s="612"/>
      <c r="O69" s="612"/>
      <c r="P69" s="612"/>
      <c r="Q69" s="612"/>
    </row>
    <row r="70" spans="2:17" ht="15.6" x14ac:dyDescent="0.3">
      <c r="B70" s="596"/>
      <c r="C70" s="596"/>
      <c r="D70" s="596"/>
      <c r="E70" s="147"/>
      <c r="F70" s="143"/>
      <c r="G70" s="616"/>
      <c r="H70" s="617"/>
      <c r="I70" s="617"/>
      <c r="J70" s="617"/>
      <c r="K70" s="618"/>
      <c r="L70" s="143"/>
      <c r="M70" s="147">
        <f>xx!I83</f>
        <v>1700</v>
      </c>
      <c r="N70" s="622" t="s">
        <v>205</v>
      </c>
      <c r="O70" s="622"/>
      <c r="P70" s="622"/>
      <c r="Q70" s="622"/>
    </row>
    <row r="71" spans="2:17" ht="15" customHeight="1" thickBot="1" x14ac:dyDescent="0.35">
      <c r="B71" s="612"/>
      <c r="C71" s="612"/>
      <c r="D71" s="612"/>
      <c r="E71" s="13"/>
      <c r="G71" s="619"/>
      <c r="H71" s="620"/>
      <c r="I71" s="620"/>
      <c r="J71" s="620"/>
      <c r="K71" s="621"/>
      <c r="L71" s="143"/>
      <c r="M71" s="147"/>
      <c r="N71" s="622"/>
      <c r="O71" s="622"/>
      <c r="P71" s="622"/>
      <c r="Q71" s="622"/>
    </row>
    <row r="72" spans="2:17" x14ac:dyDescent="0.3">
      <c r="B72" s="612"/>
      <c r="C72" s="612"/>
      <c r="D72" s="612"/>
      <c r="E72" s="13"/>
      <c r="M72" s="13"/>
      <c r="N72" s="612"/>
      <c r="O72" s="612"/>
      <c r="P72" s="612"/>
      <c r="Q72" s="612"/>
    </row>
    <row r="73" spans="2:17" ht="15" thickBot="1" x14ac:dyDescent="0.35">
      <c r="B73" s="648"/>
      <c r="C73" s="648"/>
      <c r="D73" s="648"/>
      <c r="E73" s="13"/>
      <c r="M73" s="13"/>
      <c r="N73" s="648"/>
      <c r="O73" s="648"/>
      <c r="P73" s="648"/>
      <c r="Q73" s="648"/>
    </row>
    <row r="74" spans="2:17" ht="16.2" thickBot="1" x14ac:dyDescent="0.35">
      <c r="B74" s="626" t="s">
        <v>197</v>
      </c>
      <c r="C74" s="624"/>
      <c r="D74" s="624"/>
      <c r="E74" s="145">
        <f>SUM(E54:E73)</f>
        <v>4172</v>
      </c>
      <c r="F74" s="149"/>
      <c r="G74" s="149"/>
      <c r="H74" s="149"/>
      <c r="I74" s="149"/>
      <c r="J74" s="149"/>
      <c r="K74" s="149"/>
      <c r="L74" s="149"/>
      <c r="M74" s="145">
        <f>SUM(M54:M73)</f>
        <v>4172</v>
      </c>
      <c r="N74" s="624" t="s">
        <v>198</v>
      </c>
      <c r="O74" s="624"/>
      <c r="P74" s="624"/>
      <c r="Q74" s="625"/>
    </row>
    <row r="75" spans="2:17" x14ac:dyDescent="0.3">
      <c r="B75" s="623"/>
      <c r="C75" s="623"/>
      <c r="D75" s="623"/>
      <c r="E75" s="13"/>
      <c r="N75" s="623"/>
      <c r="O75" s="623"/>
      <c r="P75" s="623"/>
      <c r="Q75" s="623"/>
    </row>
    <row r="76" spans="2:17" x14ac:dyDescent="0.3">
      <c r="B76" s="612"/>
      <c r="C76" s="612"/>
      <c r="D76" s="612"/>
      <c r="E76" s="13"/>
      <c r="N76" s="612"/>
      <c r="O76" s="612"/>
      <c r="P76" s="612"/>
      <c r="Q76" s="612"/>
    </row>
    <row r="77" spans="2:17" ht="18" x14ac:dyDescent="0.3">
      <c r="B77" s="606" t="s">
        <v>398</v>
      </c>
      <c r="C77" s="606"/>
      <c r="D77" s="606"/>
      <c r="N77" s="612"/>
      <c r="O77" s="612"/>
      <c r="P77" s="612"/>
      <c r="Q77" s="612"/>
    </row>
    <row r="78" spans="2:17" ht="15.6" x14ac:dyDescent="0.3">
      <c r="B78" s="612"/>
      <c r="C78" s="612"/>
      <c r="D78" s="612"/>
      <c r="E78" s="13"/>
      <c r="N78" s="611"/>
      <c r="O78" s="611"/>
      <c r="P78" s="611"/>
      <c r="Q78" s="611"/>
    </row>
    <row r="79" spans="2:17" ht="16.2" thickBot="1" x14ac:dyDescent="0.35">
      <c r="B79" s="612"/>
      <c r="C79" s="612"/>
      <c r="D79" s="612"/>
      <c r="E79" s="13"/>
      <c r="M79" s="13"/>
      <c r="N79" s="611"/>
      <c r="O79" s="611"/>
      <c r="P79" s="611"/>
      <c r="Q79" s="611"/>
    </row>
    <row r="80" spans="2:17" ht="15.6" x14ac:dyDescent="0.3">
      <c r="B80" s="612"/>
      <c r="C80" s="612"/>
      <c r="D80" s="612"/>
      <c r="E80" s="13"/>
      <c r="G80" s="649" t="s">
        <v>399</v>
      </c>
      <c r="H80" s="650"/>
      <c r="I80" s="650"/>
      <c r="J80" s="650"/>
      <c r="K80" s="651"/>
      <c r="L80" s="143"/>
      <c r="M80" s="147">
        <f>xx!I87</f>
        <v>1500</v>
      </c>
      <c r="N80" s="611" t="s">
        <v>238</v>
      </c>
      <c r="O80" s="611"/>
      <c r="P80" s="611"/>
      <c r="Q80" s="611"/>
    </row>
    <row r="81" spans="2:17" ht="15.6" x14ac:dyDescent="0.3">
      <c r="B81" s="596"/>
      <c r="C81" s="596"/>
      <c r="D81" s="596"/>
      <c r="E81" s="147"/>
      <c r="F81" s="143"/>
      <c r="G81" s="652"/>
      <c r="H81" s="653"/>
      <c r="I81" s="653"/>
      <c r="J81" s="653"/>
      <c r="K81" s="654"/>
      <c r="L81" s="143"/>
      <c r="M81" s="147">
        <f>xx!I88</f>
        <v>800</v>
      </c>
      <c r="N81" s="611" t="s">
        <v>237</v>
      </c>
      <c r="O81" s="611"/>
      <c r="P81" s="611"/>
      <c r="Q81" s="611"/>
    </row>
    <row r="82" spans="2:17" ht="15.6" x14ac:dyDescent="0.3">
      <c r="B82" s="596" t="s">
        <v>236</v>
      </c>
      <c r="C82" s="596"/>
      <c r="D82" s="596"/>
      <c r="E82" s="147">
        <f>xx!H86</f>
        <v>2472</v>
      </c>
      <c r="F82" s="143"/>
      <c r="G82" s="652"/>
      <c r="H82" s="653"/>
      <c r="I82" s="653"/>
      <c r="J82" s="653"/>
      <c r="K82" s="654"/>
      <c r="L82" s="143"/>
      <c r="M82" s="147"/>
      <c r="N82" s="611"/>
      <c r="O82" s="611"/>
      <c r="P82" s="611"/>
      <c r="Q82" s="611"/>
    </row>
    <row r="83" spans="2:17" ht="15.6" x14ac:dyDescent="0.3">
      <c r="B83" s="612"/>
      <c r="C83" s="612"/>
      <c r="D83" s="612"/>
      <c r="E83" s="13"/>
      <c r="G83" s="652"/>
      <c r="H83" s="653"/>
      <c r="I83" s="653"/>
      <c r="J83" s="653"/>
      <c r="K83" s="654"/>
      <c r="M83" s="147"/>
      <c r="N83" s="611"/>
      <c r="O83" s="611"/>
      <c r="P83" s="611"/>
      <c r="Q83" s="611"/>
    </row>
    <row r="84" spans="2:17" ht="15.6" x14ac:dyDescent="0.3">
      <c r="B84" s="596"/>
      <c r="C84" s="596"/>
      <c r="D84" s="596"/>
      <c r="E84" s="147"/>
      <c r="F84" s="143"/>
      <c r="G84" s="652"/>
      <c r="H84" s="653"/>
      <c r="I84" s="653"/>
      <c r="J84" s="653"/>
      <c r="K84" s="654"/>
      <c r="L84" s="143"/>
      <c r="M84" s="147">
        <f>xx!I89</f>
        <v>172</v>
      </c>
      <c r="N84" s="611" t="s">
        <v>239</v>
      </c>
      <c r="O84" s="611"/>
      <c r="P84" s="611"/>
      <c r="Q84" s="611"/>
    </row>
    <row r="85" spans="2:17" ht="16.2" thickBot="1" x14ac:dyDescent="0.35">
      <c r="B85" s="612"/>
      <c r="C85" s="612"/>
      <c r="D85" s="612"/>
      <c r="E85" s="13"/>
      <c r="G85" s="655"/>
      <c r="H85" s="656"/>
      <c r="I85" s="656"/>
      <c r="J85" s="656"/>
      <c r="K85" s="657"/>
      <c r="M85" s="13"/>
      <c r="N85" s="611"/>
      <c r="O85" s="611"/>
      <c r="P85" s="611"/>
      <c r="Q85" s="611"/>
    </row>
    <row r="86" spans="2:17" ht="15.6" x14ac:dyDescent="0.3">
      <c r="B86" s="612"/>
      <c r="C86" s="612"/>
      <c r="D86" s="612"/>
      <c r="E86" s="13"/>
      <c r="M86" s="13"/>
      <c r="N86" s="611"/>
      <c r="O86" s="611"/>
      <c r="P86" s="611"/>
      <c r="Q86" s="611"/>
    </row>
    <row r="87" spans="2:17" ht="16.2" thickBot="1" x14ac:dyDescent="0.35">
      <c r="B87" s="648"/>
      <c r="C87" s="648"/>
      <c r="D87" s="648"/>
      <c r="E87" s="13"/>
      <c r="M87" s="13"/>
      <c r="N87" s="647"/>
      <c r="O87" s="647"/>
      <c r="P87" s="647"/>
      <c r="Q87" s="647"/>
    </row>
    <row r="88" spans="2:17" ht="16.2" thickBot="1" x14ac:dyDescent="0.35">
      <c r="B88" s="626" t="s">
        <v>197</v>
      </c>
      <c r="C88" s="624"/>
      <c r="D88" s="624"/>
      <c r="E88" s="145">
        <f>SUM(E80:E87)</f>
        <v>2472</v>
      </c>
      <c r="F88" s="149"/>
      <c r="G88" s="149"/>
      <c r="H88" s="149"/>
      <c r="I88" s="149"/>
      <c r="J88" s="149"/>
      <c r="K88" s="149"/>
      <c r="L88" s="149"/>
      <c r="M88" s="145">
        <f>SUM(M80:M87)</f>
        <v>2472</v>
      </c>
      <c r="N88" s="624" t="s">
        <v>198</v>
      </c>
      <c r="O88" s="624"/>
      <c r="P88" s="624"/>
      <c r="Q88" s="625"/>
    </row>
    <row r="89" spans="2:17" x14ac:dyDescent="0.3">
      <c r="B89" s="623"/>
      <c r="C89" s="623"/>
      <c r="D89" s="623"/>
      <c r="E89" s="13"/>
      <c r="N89" s="623"/>
      <c r="O89" s="623"/>
      <c r="P89" s="623"/>
      <c r="Q89" s="623"/>
    </row>
    <row r="90" spans="2:17" x14ac:dyDescent="0.3">
      <c r="B90" s="612"/>
      <c r="C90" s="612"/>
      <c r="D90" s="612"/>
      <c r="E90" s="13"/>
      <c r="N90" s="612"/>
      <c r="O90" s="612"/>
      <c r="P90" s="612"/>
      <c r="Q90" s="612"/>
    </row>
    <row r="91" spans="2:17" ht="18.75" customHeight="1" x14ac:dyDescent="0.3">
      <c r="B91" s="607" t="s">
        <v>400</v>
      </c>
      <c r="C91" s="607"/>
      <c r="D91" s="607"/>
      <c r="N91" s="612"/>
      <c r="O91" s="612"/>
      <c r="P91" s="612"/>
      <c r="Q91" s="612"/>
    </row>
    <row r="92" spans="2:17" ht="15" thickBot="1" x14ac:dyDescent="0.35">
      <c r="B92" s="612"/>
      <c r="C92" s="612"/>
      <c r="D92" s="612"/>
      <c r="E92" s="13"/>
      <c r="N92" s="612"/>
      <c r="O92" s="612"/>
      <c r="P92" s="612"/>
      <c r="Q92" s="612"/>
    </row>
    <row r="93" spans="2:17" x14ac:dyDescent="0.3">
      <c r="B93" s="612"/>
      <c r="C93" s="612"/>
      <c r="D93" s="612"/>
      <c r="E93" s="13"/>
      <c r="G93" s="637" t="s">
        <v>405</v>
      </c>
      <c r="H93" s="638"/>
      <c r="I93" s="638"/>
      <c r="J93" s="638"/>
      <c r="K93" s="639"/>
      <c r="M93" s="13"/>
      <c r="N93" s="612"/>
      <c r="O93" s="612"/>
      <c r="P93" s="612"/>
      <c r="Q93" s="612"/>
    </row>
    <row r="94" spans="2:17" ht="15.6" x14ac:dyDescent="0.3">
      <c r="B94" s="596" t="s">
        <v>248</v>
      </c>
      <c r="C94" s="596"/>
      <c r="D94" s="596"/>
      <c r="E94" s="147">
        <f>xx!H92</f>
        <v>2600</v>
      </c>
      <c r="F94" s="143"/>
      <c r="G94" s="640"/>
      <c r="H94" s="641"/>
      <c r="I94" s="641"/>
      <c r="J94" s="641"/>
      <c r="K94" s="642"/>
      <c r="M94" s="13"/>
      <c r="N94" s="612"/>
      <c r="O94" s="612"/>
      <c r="P94" s="612"/>
      <c r="Q94" s="612"/>
    </row>
    <row r="95" spans="2:17" ht="15.6" x14ac:dyDescent="0.3">
      <c r="B95" s="596"/>
      <c r="C95" s="596"/>
      <c r="D95" s="596"/>
      <c r="E95" s="147"/>
      <c r="G95" s="640"/>
      <c r="H95" s="641"/>
      <c r="I95" s="641"/>
      <c r="J95" s="641"/>
      <c r="K95" s="642"/>
      <c r="L95" s="143"/>
      <c r="M95" s="13"/>
      <c r="N95" s="612"/>
      <c r="O95" s="612"/>
      <c r="P95" s="612"/>
      <c r="Q95" s="612"/>
    </row>
    <row r="96" spans="2:17" ht="15.6" x14ac:dyDescent="0.3">
      <c r="B96" s="596"/>
      <c r="C96" s="596"/>
      <c r="D96" s="596"/>
      <c r="E96" s="147"/>
      <c r="G96" s="640"/>
      <c r="H96" s="641"/>
      <c r="I96" s="641"/>
      <c r="J96" s="641"/>
      <c r="K96" s="642"/>
      <c r="M96" s="13"/>
      <c r="N96" s="612"/>
      <c r="O96" s="612"/>
      <c r="P96" s="612"/>
      <c r="Q96" s="612"/>
    </row>
    <row r="97" spans="2:17" ht="15.6" x14ac:dyDescent="0.3">
      <c r="B97" s="596" t="s">
        <v>202</v>
      </c>
      <c r="C97" s="596"/>
      <c r="D97" s="596"/>
      <c r="E97" s="147">
        <f>xx!H93</f>
        <v>1300</v>
      </c>
      <c r="F97" s="143"/>
      <c r="G97" s="640"/>
      <c r="H97" s="641"/>
      <c r="I97" s="641"/>
      <c r="J97" s="641"/>
      <c r="K97" s="642"/>
      <c r="L97" s="143"/>
      <c r="M97" s="147">
        <f>xx!I95</f>
        <v>3900</v>
      </c>
      <c r="N97" s="611" t="s">
        <v>210</v>
      </c>
      <c r="O97" s="611"/>
      <c r="P97" s="611"/>
      <c r="Q97" s="611"/>
    </row>
    <row r="98" spans="2:17" ht="15" thickBot="1" x14ac:dyDescent="0.35">
      <c r="B98" s="612"/>
      <c r="C98" s="612"/>
      <c r="D98" s="612"/>
      <c r="E98" s="13"/>
      <c r="G98" s="643"/>
      <c r="H98" s="644"/>
      <c r="I98" s="644"/>
      <c r="J98" s="644"/>
      <c r="K98" s="645"/>
      <c r="M98" s="13"/>
      <c r="N98" s="612"/>
      <c r="O98" s="612"/>
      <c r="P98" s="612"/>
      <c r="Q98" s="612"/>
    </row>
    <row r="99" spans="2:17" x14ac:dyDescent="0.3">
      <c r="B99" s="612"/>
      <c r="C99" s="612"/>
      <c r="D99" s="612"/>
      <c r="E99" s="13"/>
      <c r="M99" s="13"/>
      <c r="N99" s="612"/>
      <c r="O99" s="612"/>
      <c r="P99" s="612"/>
      <c r="Q99" s="612"/>
    </row>
    <row r="100" spans="2:17" ht="15" thickBot="1" x14ac:dyDescent="0.35">
      <c r="B100" s="612"/>
      <c r="C100" s="612"/>
      <c r="D100" s="612"/>
      <c r="E100" s="13"/>
      <c r="M100" s="13"/>
      <c r="N100" s="612"/>
      <c r="O100" s="612"/>
      <c r="P100" s="612"/>
      <c r="Q100" s="612"/>
    </row>
    <row r="101" spans="2:17" ht="16.2" thickBot="1" x14ac:dyDescent="0.35">
      <c r="B101" s="626" t="s">
        <v>197</v>
      </c>
      <c r="C101" s="624"/>
      <c r="D101" s="624"/>
      <c r="E101" s="145">
        <f>SUM(E93:E100)</f>
        <v>3900</v>
      </c>
      <c r="F101" s="149"/>
      <c r="G101" s="149"/>
      <c r="H101" s="149"/>
      <c r="I101" s="149"/>
      <c r="J101" s="149"/>
      <c r="K101" s="149"/>
      <c r="L101" s="149"/>
      <c r="M101" s="145">
        <f>SUM(M93:M100)</f>
        <v>3900</v>
      </c>
      <c r="N101" s="624" t="s">
        <v>198</v>
      </c>
      <c r="O101" s="624"/>
      <c r="P101" s="624"/>
      <c r="Q101" s="625"/>
    </row>
    <row r="102" spans="2:17" x14ac:dyDescent="0.3">
      <c r="B102" s="623"/>
      <c r="C102" s="623"/>
      <c r="D102" s="623"/>
      <c r="E102" s="13"/>
      <c r="M102" s="13"/>
      <c r="N102" s="612"/>
      <c r="O102" s="612"/>
      <c r="P102" s="612"/>
      <c r="Q102" s="612"/>
    </row>
    <row r="103" spans="2:17" x14ac:dyDescent="0.3">
      <c r="B103" s="612"/>
      <c r="C103" s="612"/>
      <c r="D103" s="612"/>
      <c r="E103" s="13"/>
      <c r="N103" s="612"/>
      <c r="O103" s="612"/>
      <c r="P103" s="612"/>
      <c r="Q103" s="612"/>
    </row>
    <row r="104" spans="2:17" ht="18" x14ac:dyDescent="0.3">
      <c r="B104" s="606" t="s">
        <v>406</v>
      </c>
      <c r="C104" s="606"/>
      <c r="D104" s="606"/>
      <c r="N104" s="612"/>
      <c r="O104" s="612"/>
      <c r="P104" s="612"/>
      <c r="Q104" s="612"/>
    </row>
    <row r="105" spans="2:17" ht="15" thickBot="1" x14ac:dyDescent="0.35">
      <c r="B105" s="612"/>
      <c r="C105" s="612"/>
      <c r="D105" s="612"/>
      <c r="E105" s="13"/>
      <c r="N105" s="612"/>
      <c r="O105" s="612"/>
      <c r="P105" s="612"/>
      <c r="Q105" s="612"/>
    </row>
    <row r="106" spans="2:17" x14ac:dyDescent="0.3">
      <c r="B106" s="612"/>
      <c r="C106" s="612"/>
      <c r="D106" s="612"/>
      <c r="E106" s="13"/>
      <c r="G106" s="637" t="s">
        <v>407</v>
      </c>
      <c r="H106" s="638"/>
      <c r="I106" s="638"/>
      <c r="J106" s="638"/>
      <c r="K106" s="639"/>
      <c r="M106" s="13"/>
      <c r="N106" s="612"/>
      <c r="O106" s="612"/>
      <c r="P106" s="612"/>
      <c r="Q106" s="612"/>
    </row>
    <row r="107" spans="2:17" ht="15.6" x14ac:dyDescent="0.3">
      <c r="B107" s="596" t="s">
        <v>247</v>
      </c>
      <c r="C107" s="596"/>
      <c r="D107" s="596"/>
      <c r="E107" s="147">
        <f>xx!H98</f>
        <v>2500</v>
      </c>
      <c r="F107" s="143"/>
      <c r="G107" s="640"/>
      <c r="H107" s="641"/>
      <c r="I107" s="641"/>
      <c r="J107" s="641"/>
      <c r="K107" s="642"/>
      <c r="L107" s="143"/>
      <c r="M107" s="147">
        <f>xx!I99</f>
        <v>2000</v>
      </c>
      <c r="N107" s="611" t="s">
        <v>244</v>
      </c>
      <c r="O107" s="611"/>
      <c r="P107" s="611"/>
      <c r="Q107" s="611"/>
    </row>
    <row r="108" spans="2:17" ht="15.6" x14ac:dyDescent="0.3">
      <c r="B108" s="596"/>
      <c r="C108" s="596"/>
      <c r="D108" s="596"/>
      <c r="E108" s="147"/>
      <c r="G108" s="640"/>
      <c r="H108" s="641"/>
      <c r="I108" s="641"/>
      <c r="J108" s="641"/>
      <c r="K108" s="642"/>
      <c r="M108" s="147"/>
      <c r="N108" s="611"/>
      <c r="O108" s="611"/>
      <c r="P108" s="611"/>
      <c r="Q108" s="611"/>
    </row>
    <row r="109" spans="2:17" ht="15.6" x14ac:dyDescent="0.3">
      <c r="B109" s="596"/>
      <c r="C109" s="596"/>
      <c r="D109" s="596"/>
      <c r="E109" s="147"/>
      <c r="G109" s="640"/>
      <c r="H109" s="641"/>
      <c r="I109" s="641"/>
      <c r="J109" s="641"/>
      <c r="K109" s="642"/>
      <c r="M109" s="147"/>
      <c r="N109" s="611"/>
      <c r="O109" s="611"/>
      <c r="P109" s="611"/>
      <c r="Q109" s="611"/>
    </row>
    <row r="110" spans="2:17" ht="15.6" x14ac:dyDescent="0.3">
      <c r="B110" s="596"/>
      <c r="C110" s="596"/>
      <c r="D110" s="596"/>
      <c r="E110" s="147"/>
      <c r="F110" s="143"/>
      <c r="G110" s="640"/>
      <c r="H110" s="641"/>
      <c r="I110" s="641"/>
      <c r="J110" s="641"/>
      <c r="K110" s="642"/>
      <c r="M110" s="147"/>
      <c r="N110" s="611"/>
      <c r="O110" s="611"/>
      <c r="P110" s="611"/>
      <c r="Q110" s="611"/>
    </row>
    <row r="111" spans="2:17" ht="15.6" x14ac:dyDescent="0.3">
      <c r="B111" s="596" t="s">
        <v>203</v>
      </c>
      <c r="C111" s="596"/>
      <c r="D111" s="596"/>
      <c r="E111" s="147">
        <f>xx!H100</f>
        <v>500</v>
      </c>
      <c r="F111" s="143"/>
      <c r="G111" s="640"/>
      <c r="H111" s="641"/>
      <c r="I111" s="641"/>
      <c r="J111" s="641"/>
      <c r="K111" s="642"/>
      <c r="L111" s="143"/>
      <c r="M111" s="147">
        <f>xx!I101</f>
        <v>1000</v>
      </c>
      <c r="N111" s="646" t="s">
        <v>241</v>
      </c>
      <c r="O111" s="611"/>
      <c r="P111" s="611"/>
      <c r="Q111" s="611"/>
    </row>
    <row r="112" spans="2:17" ht="15" thickBot="1" x14ac:dyDescent="0.35">
      <c r="B112" s="612"/>
      <c r="C112" s="612"/>
      <c r="D112" s="612"/>
      <c r="E112" s="13"/>
      <c r="G112" s="643"/>
      <c r="H112" s="644"/>
      <c r="I112" s="644"/>
      <c r="J112" s="644"/>
      <c r="K112" s="645"/>
      <c r="M112" s="13"/>
      <c r="N112" s="612"/>
      <c r="O112" s="612"/>
      <c r="P112" s="612"/>
      <c r="Q112" s="612"/>
    </row>
    <row r="113" spans="2:17" x14ac:dyDescent="0.3">
      <c r="B113" s="612"/>
      <c r="C113" s="612"/>
      <c r="D113" s="612"/>
      <c r="E113" s="13"/>
      <c r="M113" s="13"/>
      <c r="N113" s="612"/>
      <c r="O113" s="612"/>
      <c r="P113" s="612"/>
      <c r="Q113" s="612"/>
    </row>
    <row r="114" spans="2:17" ht="15" thickBot="1" x14ac:dyDescent="0.35">
      <c r="B114" s="612"/>
      <c r="C114" s="612"/>
      <c r="D114" s="612"/>
      <c r="E114" s="13"/>
      <c r="M114" s="13"/>
      <c r="N114" s="612"/>
      <c r="O114" s="612"/>
      <c r="P114" s="612"/>
      <c r="Q114" s="612"/>
    </row>
    <row r="115" spans="2:17" ht="16.2" thickBot="1" x14ac:dyDescent="0.35">
      <c r="B115" s="626" t="s">
        <v>197</v>
      </c>
      <c r="C115" s="624"/>
      <c r="D115" s="624"/>
      <c r="E115" s="145">
        <f>SUM(E106:E114)</f>
        <v>3000</v>
      </c>
      <c r="F115" s="149"/>
      <c r="G115" s="149"/>
      <c r="H115" s="157"/>
      <c r="J115" s="158"/>
      <c r="K115" s="149"/>
      <c r="L115" s="149"/>
      <c r="M115" s="145">
        <f>SUM(M106:M114)</f>
        <v>3000</v>
      </c>
      <c r="N115" s="624" t="s">
        <v>198</v>
      </c>
      <c r="O115" s="624"/>
      <c r="P115" s="624"/>
      <c r="Q115" s="625"/>
    </row>
    <row r="116" spans="2:17" x14ac:dyDescent="0.3">
      <c r="B116" s="623"/>
      <c r="C116" s="623"/>
      <c r="D116" s="623"/>
      <c r="E116" s="150"/>
      <c r="N116" s="623"/>
      <c r="O116" s="623"/>
      <c r="P116" s="623"/>
      <c r="Q116" s="623"/>
    </row>
    <row r="117" spans="2:17" x14ac:dyDescent="0.3">
      <c r="B117" s="612"/>
      <c r="C117" s="612"/>
      <c r="D117" s="612"/>
      <c r="E117" s="13"/>
      <c r="N117" s="612"/>
      <c r="O117" s="612"/>
      <c r="P117" s="612"/>
      <c r="Q117" s="612"/>
    </row>
    <row r="118" spans="2:17" ht="18" x14ac:dyDescent="0.3">
      <c r="B118" s="606" t="s">
        <v>409</v>
      </c>
      <c r="C118" s="606"/>
      <c r="D118" s="606"/>
      <c r="J118" s="636" t="s">
        <v>245</v>
      </c>
      <c r="K118" s="636"/>
      <c r="L118" s="155">
        <f>xx!I99</f>
        <v>2000</v>
      </c>
      <c r="N118" s="612"/>
      <c r="O118" s="612"/>
      <c r="P118" s="612"/>
      <c r="Q118" s="612"/>
    </row>
    <row r="119" spans="2:17" x14ac:dyDescent="0.3">
      <c r="B119" s="612"/>
      <c r="C119" s="612"/>
      <c r="D119" s="612"/>
      <c r="E119" s="13"/>
      <c r="N119" s="612"/>
      <c r="O119" s="612"/>
      <c r="P119" s="612"/>
      <c r="Q119" s="612"/>
    </row>
    <row r="120" spans="2:17" ht="15" thickBot="1" x14ac:dyDescent="0.35">
      <c r="B120" s="612"/>
      <c r="C120" s="612"/>
      <c r="D120" s="612"/>
      <c r="E120" s="13"/>
      <c r="N120" s="612"/>
      <c r="O120" s="612"/>
      <c r="P120" s="612"/>
      <c r="Q120" s="612"/>
    </row>
    <row r="121" spans="2:17" x14ac:dyDescent="0.3">
      <c r="B121" s="612"/>
      <c r="C121" s="612"/>
      <c r="D121" s="612"/>
      <c r="E121" s="13"/>
      <c r="G121" s="627" t="s">
        <v>408</v>
      </c>
      <c r="H121" s="628"/>
      <c r="I121" s="628"/>
      <c r="J121" s="628"/>
      <c r="K121" s="629"/>
      <c r="M121" s="13"/>
      <c r="N121" s="612"/>
      <c r="O121" s="612"/>
      <c r="P121" s="612"/>
      <c r="Q121" s="612"/>
    </row>
    <row r="122" spans="2:17" ht="15.6" x14ac:dyDescent="0.3">
      <c r="B122" s="596" t="s">
        <v>246</v>
      </c>
      <c r="C122" s="596"/>
      <c r="D122" s="596"/>
      <c r="E122" s="147">
        <f>xx!H104</f>
        <v>2000</v>
      </c>
      <c r="F122" s="143"/>
      <c r="G122" s="630"/>
      <c r="H122" s="631"/>
      <c r="I122" s="631"/>
      <c r="J122" s="631"/>
      <c r="K122" s="632"/>
      <c r="L122" s="143"/>
      <c r="M122" s="147">
        <f>xx!I107</f>
        <v>1100</v>
      </c>
      <c r="N122" s="622" t="s">
        <v>244</v>
      </c>
      <c r="O122" s="622"/>
      <c r="P122" s="622"/>
      <c r="Q122" s="622"/>
    </row>
    <row r="123" spans="2:17" ht="15.6" x14ac:dyDescent="0.3">
      <c r="B123" s="596" t="s">
        <v>242</v>
      </c>
      <c r="C123" s="596"/>
      <c r="D123" s="596"/>
      <c r="E123" s="147">
        <f>xx!H105</f>
        <v>250</v>
      </c>
      <c r="F123" s="143"/>
      <c r="G123" s="630"/>
      <c r="H123" s="631"/>
      <c r="I123" s="631"/>
      <c r="J123" s="631"/>
      <c r="K123" s="632"/>
      <c r="M123" s="147"/>
      <c r="N123" s="622"/>
      <c r="O123" s="622"/>
      <c r="P123" s="622"/>
      <c r="Q123" s="622"/>
    </row>
    <row r="124" spans="2:17" ht="15.6" x14ac:dyDescent="0.3">
      <c r="B124" s="596"/>
      <c r="C124" s="596"/>
      <c r="D124" s="596"/>
      <c r="E124" s="147"/>
      <c r="G124" s="630"/>
      <c r="H124" s="631"/>
      <c r="I124" s="631"/>
      <c r="J124" s="631"/>
      <c r="K124" s="632"/>
      <c r="L124" s="143"/>
      <c r="M124" s="147"/>
      <c r="N124" s="622"/>
      <c r="O124" s="622"/>
      <c r="P124" s="622"/>
      <c r="Q124" s="622"/>
    </row>
    <row r="125" spans="2:17" ht="15.6" x14ac:dyDescent="0.3">
      <c r="B125" s="596"/>
      <c r="C125" s="596"/>
      <c r="D125" s="596"/>
      <c r="E125" s="147"/>
      <c r="F125" s="143"/>
      <c r="G125" s="630"/>
      <c r="H125" s="631"/>
      <c r="I125" s="631"/>
      <c r="J125" s="631"/>
      <c r="K125" s="632"/>
      <c r="M125" s="147"/>
      <c r="N125" s="622"/>
      <c r="O125" s="622"/>
      <c r="P125" s="622"/>
      <c r="Q125" s="622"/>
    </row>
    <row r="126" spans="2:17" ht="15.6" x14ac:dyDescent="0.3">
      <c r="B126" s="612"/>
      <c r="C126" s="612"/>
      <c r="D126" s="612"/>
      <c r="E126" s="13"/>
      <c r="G126" s="630"/>
      <c r="H126" s="631"/>
      <c r="I126" s="631"/>
      <c r="J126" s="631"/>
      <c r="K126" s="632"/>
      <c r="L126" s="143"/>
      <c r="M126" s="147">
        <f>xx!I106</f>
        <v>600</v>
      </c>
      <c r="N126" s="622" t="s">
        <v>243</v>
      </c>
      <c r="O126" s="622"/>
      <c r="P126" s="622"/>
      <c r="Q126" s="622"/>
    </row>
    <row r="127" spans="2:17" ht="15.6" x14ac:dyDescent="0.3">
      <c r="B127" s="612"/>
      <c r="C127" s="612"/>
      <c r="D127" s="612"/>
      <c r="E127" s="13"/>
      <c r="G127" s="630"/>
      <c r="H127" s="631"/>
      <c r="I127" s="631"/>
      <c r="J127" s="631"/>
      <c r="K127" s="632"/>
      <c r="L127" s="143"/>
      <c r="M127" s="147">
        <f>xx!I108</f>
        <v>550</v>
      </c>
      <c r="N127" s="622" t="s">
        <v>239</v>
      </c>
      <c r="O127" s="622"/>
      <c r="P127" s="622"/>
      <c r="Q127" s="622"/>
    </row>
    <row r="128" spans="2:17" ht="15" thickBot="1" x14ac:dyDescent="0.35">
      <c r="B128" s="612"/>
      <c r="C128" s="612"/>
      <c r="D128" s="612"/>
      <c r="E128" s="13"/>
      <c r="G128" s="633"/>
      <c r="H128" s="634"/>
      <c r="I128" s="634"/>
      <c r="J128" s="634"/>
      <c r="K128" s="635"/>
      <c r="M128" s="13"/>
      <c r="N128" s="612"/>
      <c r="O128" s="612"/>
      <c r="P128" s="612"/>
      <c r="Q128" s="612"/>
    </row>
    <row r="129" spans="2:17" x14ac:dyDescent="0.3">
      <c r="B129" s="612"/>
      <c r="C129" s="612"/>
      <c r="D129" s="612"/>
      <c r="E129" s="13"/>
      <c r="M129" s="13"/>
      <c r="N129" s="612"/>
      <c r="O129" s="612"/>
      <c r="P129" s="612"/>
      <c r="Q129" s="612"/>
    </row>
    <row r="130" spans="2:17" ht="15" thickBot="1" x14ac:dyDescent="0.35">
      <c r="B130" s="612"/>
      <c r="C130" s="612"/>
      <c r="D130" s="612"/>
      <c r="E130" s="13"/>
      <c r="M130" s="13"/>
      <c r="N130" s="612"/>
      <c r="O130" s="612"/>
      <c r="P130" s="612"/>
      <c r="Q130" s="612"/>
    </row>
    <row r="131" spans="2:17" ht="16.2" thickBot="1" x14ac:dyDescent="0.35">
      <c r="B131" s="626" t="s">
        <v>197</v>
      </c>
      <c r="C131" s="624"/>
      <c r="D131" s="624"/>
      <c r="E131" s="145">
        <f>SUM(E121:E130)</f>
        <v>2250</v>
      </c>
      <c r="F131" s="149"/>
      <c r="G131" s="149"/>
      <c r="H131" s="149"/>
      <c r="I131" s="149"/>
      <c r="J131" s="149"/>
      <c r="K131" s="149"/>
      <c r="L131" s="149"/>
      <c r="M131" s="145">
        <f>SUM(M121:M130)</f>
        <v>2250</v>
      </c>
      <c r="N131" s="624" t="s">
        <v>198</v>
      </c>
      <c r="O131" s="624"/>
      <c r="P131" s="624"/>
      <c r="Q131" s="625"/>
    </row>
  </sheetData>
  <mergeCells count="269">
    <mergeCell ref="B2:D2"/>
    <mergeCell ref="N2:Q2"/>
    <mergeCell ref="B3:D3"/>
    <mergeCell ref="N3:Q3"/>
    <mergeCell ref="N9:Q9"/>
    <mergeCell ref="B10:D10"/>
    <mergeCell ref="N10:Q10"/>
    <mergeCell ref="B11:D11"/>
    <mergeCell ref="N11:Q11"/>
    <mergeCell ref="B4:D4"/>
    <mergeCell ref="N4:Q4"/>
    <mergeCell ref="B6:D6"/>
    <mergeCell ref="G6:K13"/>
    <mergeCell ref="N6:Q6"/>
    <mergeCell ref="B7:D7"/>
    <mergeCell ref="N7:Q7"/>
    <mergeCell ref="B8:D8"/>
    <mergeCell ref="N8:Q8"/>
    <mergeCell ref="B9:D9"/>
    <mergeCell ref="N5:Q5"/>
    <mergeCell ref="B5:D5"/>
    <mergeCell ref="B12:D12"/>
    <mergeCell ref="N12:Q12"/>
    <mergeCell ref="B15:D15"/>
    <mergeCell ref="N15:Q15"/>
    <mergeCell ref="B16:D16"/>
    <mergeCell ref="N16:Q16"/>
    <mergeCell ref="B17:D17"/>
    <mergeCell ref="N17:Q17"/>
    <mergeCell ref="B13:D13"/>
    <mergeCell ref="N13:Q13"/>
    <mergeCell ref="B14:D14"/>
    <mergeCell ref="N14:Q14"/>
    <mergeCell ref="B19:D19"/>
    <mergeCell ref="N34:Q34"/>
    <mergeCell ref="N19:Q19"/>
    <mergeCell ref="N20:Q20"/>
    <mergeCell ref="N21:Q21"/>
    <mergeCell ref="N22:Q22"/>
    <mergeCell ref="N26:Q26"/>
    <mergeCell ref="N27:Q27"/>
    <mergeCell ref="B32:D32"/>
    <mergeCell ref="B33:D33"/>
    <mergeCell ref="B34:D34"/>
    <mergeCell ref="N23:Q23"/>
    <mergeCell ref="N24:Q24"/>
    <mergeCell ref="N25:Q25"/>
    <mergeCell ref="N28:Q28"/>
    <mergeCell ref="B28:D28"/>
    <mergeCell ref="B29:D29"/>
    <mergeCell ref="B30:D30"/>
    <mergeCell ref="B31:D31"/>
    <mergeCell ref="N33:Q33"/>
    <mergeCell ref="N37:Q37"/>
    <mergeCell ref="N32:Q32"/>
    <mergeCell ref="N47:Q47"/>
    <mergeCell ref="N38:Q38"/>
    <mergeCell ref="N39:Q39"/>
    <mergeCell ref="N40:Q40"/>
    <mergeCell ref="B38:D38"/>
    <mergeCell ref="B39:D39"/>
    <mergeCell ref="B40:D40"/>
    <mergeCell ref="N35:Q35"/>
    <mergeCell ref="N36:Q36"/>
    <mergeCell ref="B35:D35"/>
    <mergeCell ref="B36:D36"/>
    <mergeCell ref="B37:D37"/>
    <mergeCell ref="B50:D50"/>
    <mergeCell ref="N50:Q50"/>
    <mergeCell ref="N43:Q43"/>
    <mergeCell ref="B42:D42"/>
    <mergeCell ref="B47:D47"/>
    <mergeCell ref="N41:Q41"/>
    <mergeCell ref="B41:D41"/>
    <mergeCell ref="N51:Q51"/>
    <mergeCell ref="B52:D52"/>
    <mergeCell ref="N52:Q52"/>
    <mergeCell ref="B48:D48"/>
    <mergeCell ref="N48:Q48"/>
    <mergeCell ref="B49:D49"/>
    <mergeCell ref="N49:Q49"/>
    <mergeCell ref="B51:D51"/>
    <mergeCell ref="N44:Q44"/>
    <mergeCell ref="N45:Q45"/>
    <mergeCell ref="B44:D44"/>
    <mergeCell ref="B45:D45"/>
    <mergeCell ref="B53:D53"/>
    <mergeCell ref="N53:Q53"/>
    <mergeCell ref="B54:D54"/>
    <mergeCell ref="G54:K59"/>
    <mergeCell ref="N54:Q54"/>
    <mergeCell ref="B55:D55"/>
    <mergeCell ref="N55:Q55"/>
    <mergeCell ref="B56:D56"/>
    <mergeCell ref="N56:Q56"/>
    <mergeCell ref="B57:D57"/>
    <mergeCell ref="B61:D61"/>
    <mergeCell ref="N61:Q61"/>
    <mergeCell ref="B62:D62"/>
    <mergeCell ref="N62:Q62"/>
    <mergeCell ref="B63:D63"/>
    <mergeCell ref="N63:Q63"/>
    <mergeCell ref="N57:Q57"/>
    <mergeCell ref="B58:D58"/>
    <mergeCell ref="N58:Q58"/>
    <mergeCell ref="B59:D59"/>
    <mergeCell ref="N59:Q59"/>
    <mergeCell ref="B60:D60"/>
    <mergeCell ref="N60:Q60"/>
    <mergeCell ref="J61:K61"/>
    <mergeCell ref="B72:D72"/>
    <mergeCell ref="N72:Q72"/>
    <mergeCell ref="N87:Q87"/>
    <mergeCell ref="B73:D73"/>
    <mergeCell ref="N73:Q73"/>
    <mergeCell ref="B74:D74"/>
    <mergeCell ref="N74:Q74"/>
    <mergeCell ref="N68:Q68"/>
    <mergeCell ref="B69:D69"/>
    <mergeCell ref="N69:Q69"/>
    <mergeCell ref="B70:D70"/>
    <mergeCell ref="N71:Q71"/>
    <mergeCell ref="B71:D71"/>
    <mergeCell ref="B68:D68"/>
    <mergeCell ref="B79:D79"/>
    <mergeCell ref="B80:D80"/>
    <mergeCell ref="G80:K85"/>
    <mergeCell ref="B81:D81"/>
    <mergeCell ref="B82:D82"/>
    <mergeCell ref="B83:D83"/>
    <mergeCell ref="B75:D75"/>
    <mergeCell ref="B76:D76"/>
    <mergeCell ref="B78:D78"/>
    <mergeCell ref="B87:D87"/>
    <mergeCell ref="B88:D88"/>
    <mergeCell ref="N88:Q88"/>
    <mergeCell ref="N83:Q83"/>
    <mergeCell ref="N84:Q84"/>
    <mergeCell ref="N85:Q85"/>
    <mergeCell ref="B84:D84"/>
    <mergeCell ref="B85:D85"/>
    <mergeCell ref="B86:D86"/>
    <mergeCell ref="N86:Q86"/>
    <mergeCell ref="B95:D95"/>
    <mergeCell ref="B96:D96"/>
    <mergeCell ref="B97:D97"/>
    <mergeCell ref="B98:D98"/>
    <mergeCell ref="B99:D99"/>
    <mergeCell ref="B100:D100"/>
    <mergeCell ref="G93:K98"/>
    <mergeCell ref="B89:D89"/>
    <mergeCell ref="B90:D90"/>
    <mergeCell ref="B92:D92"/>
    <mergeCell ref="B93:D93"/>
    <mergeCell ref="B94:D94"/>
    <mergeCell ref="N89:Q89"/>
    <mergeCell ref="N90:Q90"/>
    <mergeCell ref="N91:Q91"/>
    <mergeCell ref="N75:Q75"/>
    <mergeCell ref="N76:Q76"/>
    <mergeCell ref="N77:Q77"/>
    <mergeCell ref="N78:Q78"/>
    <mergeCell ref="N79:Q79"/>
    <mergeCell ref="N80:Q80"/>
    <mergeCell ref="N81:Q81"/>
    <mergeCell ref="N82:Q82"/>
    <mergeCell ref="N98:Q98"/>
    <mergeCell ref="N99:Q99"/>
    <mergeCell ref="N100:Q100"/>
    <mergeCell ref="N101:Q101"/>
    <mergeCell ref="N102:Q102"/>
    <mergeCell ref="N92:Q92"/>
    <mergeCell ref="N93:Q93"/>
    <mergeCell ref="N94:Q94"/>
    <mergeCell ref="N95:Q95"/>
    <mergeCell ref="N96:Q96"/>
    <mergeCell ref="N97:Q97"/>
    <mergeCell ref="N103:Q103"/>
    <mergeCell ref="N104:Q104"/>
    <mergeCell ref="N105:Q105"/>
    <mergeCell ref="N106:Q106"/>
    <mergeCell ref="B101:D101"/>
    <mergeCell ref="G106:K112"/>
    <mergeCell ref="B102:D102"/>
    <mergeCell ref="N107:Q107"/>
    <mergeCell ref="N108:Q108"/>
    <mergeCell ref="N109:Q109"/>
    <mergeCell ref="N110:Q110"/>
    <mergeCell ref="N111:Q111"/>
    <mergeCell ref="N112:Q112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03:D103"/>
    <mergeCell ref="N131:Q131"/>
    <mergeCell ref="N121:Q121"/>
    <mergeCell ref="N122:Q122"/>
    <mergeCell ref="N123:Q123"/>
    <mergeCell ref="N124:Q124"/>
    <mergeCell ref="N125:Q125"/>
    <mergeCell ref="N126:Q126"/>
    <mergeCell ref="B129:D129"/>
    <mergeCell ref="B130:D130"/>
    <mergeCell ref="B131:D131"/>
    <mergeCell ref="B123:D123"/>
    <mergeCell ref="B124:D124"/>
    <mergeCell ref="B125:D125"/>
    <mergeCell ref="B126:D126"/>
    <mergeCell ref="B127:D127"/>
    <mergeCell ref="B128:D128"/>
    <mergeCell ref="G121:K128"/>
    <mergeCell ref="B121:D121"/>
    <mergeCell ref="B122:D122"/>
    <mergeCell ref="N127:Q127"/>
    <mergeCell ref="N128:Q128"/>
    <mergeCell ref="J118:K118"/>
    <mergeCell ref="N65:Q65"/>
    <mergeCell ref="B66:D66"/>
    <mergeCell ref="N66:Q66"/>
    <mergeCell ref="B67:D67"/>
    <mergeCell ref="N67:Q67"/>
    <mergeCell ref="B64:D64"/>
    <mergeCell ref="N64:Q64"/>
    <mergeCell ref="N129:Q129"/>
    <mergeCell ref="N130:Q130"/>
    <mergeCell ref="B116:D116"/>
    <mergeCell ref="B117:D117"/>
    <mergeCell ref="N115:Q115"/>
    <mergeCell ref="B119:D119"/>
    <mergeCell ref="B120:D120"/>
    <mergeCell ref="B114:D114"/>
    <mergeCell ref="B115:D115"/>
    <mergeCell ref="N116:Q116"/>
    <mergeCell ref="N117:Q117"/>
    <mergeCell ref="N118:Q118"/>
    <mergeCell ref="N119:Q119"/>
    <mergeCell ref="N120:Q120"/>
    <mergeCell ref="N113:Q113"/>
    <mergeCell ref="N114:Q114"/>
    <mergeCell ref="B105:D105"/>
    <mergeCell ref="N18:Q18"/>
    <mergeCell ref="B18:D18"/>
    <mergeCell ref="G19:K42"/>
    <mergeCell ref="B77:D77"/>
    <mergeCell ref="B91:D91"/>
    <mergeCell ref="B104:D104"/>
    <mergeCell ref="B118:D118"/>
    <mergeCell ref="B1:Q1"/>
    <mergeCell ref="J16:K16"/>
    <mergeCell ref="B43:D43"/>
    <mergeCell ref="B46:D46"/>
    <mergeCell ref="N46:Q46"/>
    <mergeCell ref="N42:Q42"/>
    <mergeCell ref="G65:K71"/>
    <mergeCell ref="N70:Q70"/>
    <mergeCell ref="B20:D20"/>
    <mergeCell ref="B21:D21"/>
    <mergeCell ref="B22:D22"/>
    <mergeCell ref="B23:D23"/>
    <mergeCell ref="B24:D24"/>
    <mergeCell ref="B25:D25"/>
    <mergeCell ref="B26:D26"/>
    <mergeCell ref="B27:D27"/>
    <mergeCell ref="B65:D65"/>
  </mergeCells>
  <pageMargins left="0.7" right="0.7" top="0.75" bottom="0.75" header="0.3" footer="0.3"/>
  <pageSetup scale="3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F849"/>
  <sheetViews>
    <sheetView zoomScale="55" zoomScaleNormal="55" zoomScaleSheetLayoutView="40" workbookViewId="0">
      <selection activeCell="C7" sqref="C7"/>
    </sheetView>
  </sheetViews>
  <sheetFormatPr defaultColWidth="9.21875" defaultRowHeight="14.4" x14ac:dyDescent="0.3"/>
  <cols>
    <col min="1" max="1" width="2.77734375" customWidth="1"/>
    <col min="2" max="2" width="10.21875" style="14" customWidth="1"/>
    <col min="3" max="3" width="46.44140625" style="1" bestFit="1" customWidth="1"/>
    <col min="4" max="4" width="20.44140625" style="14" bestFit="1" customWidth="1"/>
    <col min="5" max="5" width="18.21875" style="1" customWidth="1"/>
    <col min="6" max="6" width="17.21875" style="1" customWidth="1"/>
    <col min="7" max="7" width="36.44140625" style="14" customWidth="1"/>
    <col min="8" max="8" width="21.77734375" style="14" customWidth="1"/>
    <col min="9" max="9" width="15" style="1" customWidth="1"/>
    <col min="10" max="10" width="19" style="1" bestFit="1" customWidth="1"/>
    <col min="11" max="11" width="29.88671875" style="1" bestFit="1" customWidth="1"/>
    <col min="12" max="12" width="24.6640625" style="14" customWidth="1"/>
    <col min="13" max="13" width="17.77734375" style="1" customWidth="1"/>
    <col min="14" max="14" width="15.21875" customWidth="1"/>
    <col min="15" max="15" width="2.77734375" style="14" customWidth="1"/>
    <col min="16" max="16" width="36.21875" style="14" customWidth="1"/>
    <col min="17" max="17" width="29" style="1" customWidth="1"/>
    <col min="18" max="19" width="15.5546875" customWidth="1"/>
    <col min="20" max="20" width="18.21875" style="1" customWidth="1"/>
    <col min="21" max="21" width="17.21875" customWidth="1"/>
  </cols>
  <sheetData>
    <row r="1" spans="1:29" s="14" customFormat="1" ht="15" thickBot="1" x14ac:dyDescent="0.35">
      <c r="A1" s="223"/>
      <c r="B1" s="345"/>
      <c r="C1" s="345"/>
      <c r="D1" s="345"/>
      <c r="E1" s="345"/>
      <c r="F1" s="345"/>
      <c r="G1" s="221"/>
      <c r="H1" s="221"/>
      <c r="I1" s="221"/>
      <c r="J1" s="221"/>
      <c r="K1" s="226"/>
      <c r="L1" s="221"/>
      <c r="M1" s="221"/>
      <c r="N1" s="221"/>
      <c r="O1" s="227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s="357" customFormat="1" ht="27" customHeight="1" x14ac:dyDescent="0.3">
      <c r="A2" s="228"/>
      <c r="B2" s="530"/>
      <c r="C2" s="531"/>
      <c r="D2" s="534"/>
      <c r="E2" s="535"/>
      <c r="F2" s="535"/>
      <c r="G2" s="535"/>
      <c r="H2" s="535"/>
      <c r="I2" s="535"/>
      <c r="J2" s="536"/>
      <c r="K2" s="355" t="s">
        <v>353</v>
      </c>
      <c r="L2" s="347"/>
      <c r="M2" s="700"/>
      <c r="N2" s="519"/>
      <c r="O2" s="356"/>
      <c r="T2" s="358"/>
      <c r="U2" s="358"/>
      <c r="V2" s="358"/>
      <c r="W2" s="358"/>
      <c r="X2" s="358"/>
      <c r="Y2" s="358"/>
      <c r="Z2" s="358"/>
      <c r="AA2" s="358"/>
      <c r="AB2" s="358"/>
      <c r="AC2" s="358"/>
    </row>
    <row r="3" spans="1:29" s="357" customFormat="1" ht="28.5" customHeight="1" x14ac:dyDescent="0.3">
      <c r="A3" s="228"/>
      <c r="B3" s="532"/>
      <c r="C3" s="533"/>
      <c r="D3" s="537"/>
      <c r="E3" s="538"/>
      <c r="F3" s="538"/>
      <c r="G3" s="538"/>
      <c r="H3" s="538"/>
      <c r="I3" s="538"/>
      <c r="J3" s="539"/>
      <c r="K3" s="359" t="s">
        <v>354</v>
      </c>
      <c r="L3" s="73"/>
      <c r="M3" s="701"/>
      <c r="N3" s="521"/>
      <c r="O3" s="356"/>
      <c r="T3" s="358"/>
      <c r="U3" s="358"/>
      <c r="V3" s="358"/>
      <c r="W3" s="358"/>
      <c r="X3" s="358"/>
      <c r="Y3" s="358"/>
      <c r="Z3" s="358"/>
      <c r="AA3" s="358"/>
      <c r="AB3" s="358"/>
      <c r="AC3" s="358"/>
    </row>
    <row r="4" spans="1:29" s="357" customFormat="1" ht="49.5" customHeight="1" x14ac:dyDescent="0.3">
      <c r="A4" s="228"/>
      <c r="B4" s="532"/>
      <c r="C4" s="533"/>
      <c r="D4" s="537"/>
      <c r="E4" s="538"/>
      <c r="F4" s="538"/>
      <c r="G4" s="538"/>
      <c r="H4" s="538"/>
      <c r="I4" s="538"/>
      <c r="J4" s="539"/>
      <c r="K4" s="360" t="s">
        <v>355</v>
      </c>
      <c r="L4" s="348"/>
      <c r="M4" s="702"/>
      <c r="N4" s="523"/>
      <c r="O4" s="356"/>
      <c r="T4" s="358"/>
      <c r="U4" s="358"/>
      <c r="V4" s="358"/>
      <c r="W4" s="358"/>
      <c r="X4" s="358"/>
      <c r="Y4" s="358"/>
      <c r="Z4" s="358"/>
      <c r="AA4" s="358"/>
      <c r="AB4" s="358"/>
      <c r="AC4" s="358"/>
    </row>
    <row r="5" spans="1:29" s="357" customFormat="1" ht="30.75" customHeight="1" x14ac:dyDescent="0.3">
      <c r="A5" s="228"/>
      <c r="B5" s="546"/>
      <c r="C5" s="547"/>
      <c r="D5" s="537"/>
      <c r="E5" s="538"/>
      <c r="F5" s="538"/>
      <c r="G5" s="538"/>
      <c r="H5" s="538"/>
      <c r="I5" s="538"/>
      <c r="J5" s="539"/>
      <c r="K5" s="361" t="s">
        <v>356</v>
      </c>
      <c r="L5" s="30"/>
      <c r="M5" s="703"/>
      <c r="N5" s="554"/>
      <c r="O5" s="356"/>
      <c r="T5" s="358"/>
      <c r="U5" s="358"/>
      <c r="V5" s="358"/>
      <c r="W5" s="358"/>
      <c r="X5" s="358"/>
      <c r="Y5" s="358"/>
      <c r="Z5" s="358"/>
      <c r="AA5" s="358"/>
      <c r="AB5" s="358"/>
      <c r="AC5" s="358"/>
    </row>
    <row r="6" spans="1:29" s="357" customFormat="1" ht="27" customHeight="1" x14ac:dyDescent="0.3">
      <c r="A6" s="228"/>
      <c r="B6" s="233" t="s">
        <v>357</v>
      </c>
      <c r="C6" s="234"/>
      <c r="D6" s="537"/>
      <c r="E6" s="538"/>
      <c r="F6" s="538"/>
      <c r="G6" s="538"/>
      <c r="H6" s="538"/>
      <c r="I6" s="538"/>
      <c r="J6" s="539"/>
      <c r="K6" s="361" t="s">
        <v>358</v>
      </c>
      <c r="L6" s="30"/>
      <c r="M6" s="704"/>
      <c r="N6" s="556"/>
      <c r="O6" s="356"/>
      <c r="T6" s="358"/>
      <c r="U6" s="358"/>
      <c r="V6" s="358"/>
      <c r="W6" s="358"/>
      <c r="X6" s="358"/>
      <c r="Y6" s="358"/>
      <c r="Z6" s="358"/>
      <c r="AA6" s="358"/>
      <c r="AB6" s="358"/>
      <c r="AC6" s="358"/>
    </row>
    <row r="7" spans="1:29" s="357" customFormat="1" ht="28.5" customHeight="1" thickBot="1" x14ac:dyDescent="0.35">
      <c r="A7" s="228"/>
      <c r="B7" s="235" t="s">
        <v>359</v>
      </c>
      <c r="C7" s="236"/>
      <c r="D7" s="540"/>
      <c r="E7" s="541"/>
      <c r="F7" s="541"/>
      <c r="G7" s="541"/>
      <c r="H7" s="541"/>
      <c r="I7" s="541"/>
      <c r="J7" s="542"/>
      <c r="K7" s="362" t="s">
        <v>360</v>
      </c>
      <c r="L7" s="222"/>
      <c r="M7" s="363" t="s">
        <v>361</v>
      </c>
      <c r="N7" s="238"/>
      <c r="O7" s="356"/>
      <c r="T7" s="358"/>
      <c r="U7" s="358"/>
      <c r="V7" s="358"/>
      <c r="W7" s="358"/>
      <c r="X7" s="358"/>
      <c r="Y7" s="358"/>
      <c r="Z7" s="358"/>
      <c r="AA7" s="358"/>
      <c r="AB7" s="358"/>
      <c r="AC7" s="358"/>
    </row>
    <row r="8" spans="1:29" s="357" customFormat="1" ht="35.1" customHeight="1" thickBot="1" x14ac:dyDescent="0.35">
      <c r="A8" s="228"/>
      <c r="B8" s="694" t="s">
        <v>497</v>
      </c>
      <c r="C8" s="695"/>
      <c r="D8" s="695"/>
      <c r="E8" s="695"/>
      <c r="F8" s="695"/>
      <c r="G8" s="695"/>
      <c r="H8" s="695"/>
      <c r="I8" s="695"/>
      <c r="J8" s="695"/>
      <c r="K8" s="695"/>
      <c r="L8" s="695"/>
      <c r="M8" s="695"/>
      <c r="N8" s="696"/>
      <c r="O8" s="356"/>
      <c r="T8" s="358"/>
      <c r="U8" s="358"/>
      <c r="V8" s="358"/>
      <c r="W8" s="358"/>
      <c r="X8" s="358"/>
      <c r="Y8" s="358"/>
      <c r="Z8" s="358"/>
      <c r="AA8" s="358"/>
      <c r="AB8" s="358"/>
      <c r="AC8" s="358"/>
    </row>
    <row r="9" spans="1:29" s="303" customFormat="1" ht="57" customHeight="1" x14ac:dyDescent="0.3">
      <c r="A9" s="364"/>
      <c r="B9" s="365" t="s">
        <v>498</v>
      </c>
      <c r="C9" s="366" t="s">
        <v>499</v>
      </c>
      <c r="D9" s="366" t="s">
        <v>500</v>
      </c>
      <c r="E9" s="366" t="s">
        <v>501</v>
      </c>
      <c r="F9" s="366" t="s">
        <v>502</v>
      </c>
      <c r="G9" s="366" t="s">
        <v>503</v>
      </c>
      <c r="H9" s="366" t="s">
        <v>504</v>
      </c>
      <c r="I9" s="366" t="s">
        <v>505</v>
      </c>
      <c r="J9" s="366" t="s">
        <v>506</v>
      </c>
      <c r="K9" s="366" t="s">
        <v>507</v>
      </c>
      <c r="L9" s="366" t="s">
        <v>508</v>
      </c>
      <c r="M9" s="679" t="s">
        <v>509</v>
      </c>
      <c r="N9" s="680"/>
      <c r="O9" s="367"/>
      <c r="T9" s="368"/>
    </row>
    <row r="10" spans="1:29" ht="28.95" customHeight="1" thickBot="1" x14ac:dyDescent="0.35">
      <c r="A10" s="228"/>
      <c r="B10" s="369" t="s">
        <v>510</v>
      </c>
      <c r="C10" s="239" t="s">
        <v>158</v>
      </c>
      <c r="D10" s="212">
        <v>6.3</v>
      </c>
      <c r="E10" s="212" t="s">
        <v>511</v>
      </c>
      <c r="F10" s="222" t="s">
        <v>96</v>
      </c>
      <c r="G10" s="222">
        <v>20</v>
      </c>
      <c r="H10" s="370" t="s">
        <v>96</v>
      </c>
      <c r="I10" s="212" t="s">
        <v>96</v>
      </c>
      <c r="J10" s="212" t="s">
        <v>96</v>
      </c>
      <c r="K10" s="222" t="s">
        <v>96</v>
      </c>
      <c r="L10" s="371">
        <f>H21</f>
        <v>0.83975272892114095</v>
      </c>
      <c r="M10" s="710">
        <f>L15</f>
        <v>14.2</v>
      </c>
      <c r="N10" s="711"/>
      <c r="O10" s="229"/>
      <c r="P10"/>
      <c r="Q10"/>
    </row>
    <row r="11" spans="1:29" ht="25.5" customHeight="1" x14ac:dyDescent="0.3">
      <c r="A11" s="228"/>
      <c r="B11" s="683"/>
      <c r="C11" s="628"/>
      <c r="D11" s="628"/>
      <c r="E11" s="628"/>
      <c r="F11" s="628"/>
      <c r="G11" s="628"/>
      <c r="H11" s="628"/>
      <c r="I11" s="628"/>
      <c r="J11" s="628"/>
      <c r="K11" s="628"/>
      <c r="L11" s="628"/>
      <c r="M11" s="628"/>
      <c r="N11" s="629"/>
      <c r="O11" s="346"/>
      <c r="P11"/>
      <c r="Q11"/>
      <c r="T11"/>
    </row>
    <row r="12" spans="1:29" ht="27.6" customHeight="1" x14ac:dyDescent="0.3">
      <c r="A12" s="228"/>
      <c r="B12" s="47"/>
      <c r="C12" s="673" t="s">
        <v>512</v>
      </c>
      <c r="D12" s="674"/>
      <c r="E12" s="675"/>
      <c r="F12" s="375"/>
      <c r="G12" s="673" t="s">
        <v>513</v>
      </c>
      <c r="H12" s="674"/>
      <c r="I12" s="675"/>
      <c r="J12" s="375"/>
      <c r="K12" s="673" t="s">
        <v>514</v>
      </c>
      <c r="L12" s="674"/>
      <c r="M12" s="675"/>
      <c r="N12" s="376"/>
      <c r="O12" s="346"/>
      <c r="P12"/>
      <c r="Q12"/>
      <c r="T12"/>
    </row>
    <row r="13" spans="1:29" ht="30" customHeight="1" x14ac:dyDescent="0.3">
      <c r="A13" s="228"/>
      <c r="B13" s="47"/>
      <c r="C13" s="377"/>
      <c r="D13" s="11"/>
      <c r="E13" s="378"/>
      <c r="F13" s="379"/>
      <c r="G13" s="380"/>
      <c r="H13" s="380"/>
      <c r="I13" s="380"/>
      <c r="J13" s="379"/>
      <c r="K13" s="378"/>
      <c r="L13" s="2"/>
      <c r="M13" s="378"/>
      <c r="N13" s="381"/>
      <c r="O13" s="346"/>
      <c r="P13"/>
      <c r="Q13"/>
      <c r="T13"/>
    </row>
    <row r="14" spans="1:29" ht="30" customHeight="1" x14ac:dyDescent="0.3">
      <c r="A14" s="228"/>
      <c r="B14" s="47"/>
      <c r="C14" s="382" t="s">
        <v>515</v>
      </c>
      <c r="D14" s="383">
        <f>D10</f>
        <v>6.3</v>
      </c>
      <c r="E14" s="2" t="s">
        <v>516</v>
      </c>
      <c r="F14" s="379"/>
      <c r="G14" s="382" t="s">
        <v>517</v>
      </c>
      <c r="H14" s="3">
        <v>7</v>
      </c>
      <c r="I14" s="2" t="s">
        <v>518</v>
      </c>
      <c r="J14" s="379"/>
      <c r="K14" s="21" t="s">
        <v>519</v>
      </c>
      <c r="L14" s="11">
        <f>D22/H24</f>
        <v>46200</v>
      </c>
      <c r="M14" s="2" t="s">
        <v>520</v>
      </c>
      <c r="N14" s="381"/>
      <c r="O14" s="346"/>
      <c r="P14"/>
      <c r="Q14"/>
      <c r="T14"/>
    </row>
    <row r="15" spans="1:29" ht="40.5" customHeight="1" x14ac:dyDescent="0.3">
      <c r="A15" s="228"/>
      <c r="B15" s="47"/>
      <c r="C15" s="382" t="s">
        <v>521</v>
      </c>
      <c r="D15" s="11" t="s">
        <v>96</v>
      </c>
      <c r="E15" s="2" t="s">
        <v>522</v>
      </c>
      <c r="F15" s="379"/>
      <c r="G15" s="382" t="s">
        <v>523</v>
      </c>
      <c r="H15" s="11">
        <f>D17</f>
        <v>0.7</v>
      </c>
      <c r="I15" s="2" t="s">
        <v>524</v>
      </c>
      <c r="J15" s="379"/>
      <c r="K15" s="384" t="s">
        <v>603</v>
      </c>
      <c r="L15" s="462">
        <f>IF(L14/5/1000&lt;14.2,14.2,L14/5/1000)</f>
        <v>14.2</v>
      </c>
      <c r="M15" s="133" t="s">
        <v>525</v>
      </c>
      <c r="N15" s="381"/>
      <c r="O15" s="346"/>
      <c r="P15"/>
      <c r="Q15"/>
      <c r="T15"/>
    </row>
    <row r="16" spans="1:29" ht="30" customHeight="1" x14ac:dyDescent="0.3">
      <c r="A16" s="228"/>
      <c r="B16" s="47"/>
      <c r="C16" s="382" t="s">
        <v>526</v>
      </c>
      <c r="D16" s="11">
        <f>xx!J12</f>
        <v>3300</v>
      </c>
      <c r="E16" s="2" t="s">
        <v>527</v>
      </c>
      <c r="F16" s="379"/>
      <c r="G16" s="386" t="s">
        <v>528</v>
      </c>
      <c r="H16" s="11">
        <f>D19</f>
        <v>30</v>
      </c>
      <c r="I16" s="2" t="s">
        <v>518</v>
      </c>
      <c r="J16" s="379"/>
      <c r="K16" s="382" t="s">
        <v>601</v>
      </c>
      <c r="L16" s="11">
        <f>L14/5/1000</f>
        <v>9.24</v>
      </c>
      <c r="M16" s="387"/>
      <c r="N16" s="381"/>
      <c r="O16" s="346"/>
      <c r="P16"/>
      <c r="Q16"/>
      <c r="T16"/>
    </row>
    <row r="17" spans="1:32" ht="30" customHeight="1" x14ac:dyDescent="0.3">
      <c r="A17" s="228"/>
      <c r="B17" s="47"/>
      <c r="C17" s="382" t="s">
        <v>529</v>
      </c>
      <c r="D17" s="11">
        <v>0.7</v>
      </c>
      <c r="E17" s="2" t="s">
        <v>524</v>
      </c>
      <c r="F17" s="379"/>
      <c r="G17" s="386" t="s">
        <v>530</v>
      </c>
      <c r="H17" s="11">
        <f>D20</f>
        <v>15</v>
      </c>
      <c r="I17" s="2" t="s">
        <v>518</v>
      </c>
      <c r="J17" s="379"/>
      <c r="K17" s="388"/>
      <c r="L17" s="388"/>
      <c r="M17" s="388"/>
      <c r="N17" s="381"/>
      <c r="O17" s="346"/>
      <c r="P17"/>
      <c r="Q17"/>
      <c r="T17"/>
    </row>
    <row r="18" spans="1:32" ht="30" customHeight="1" x14ac:dyDescent="0.3">
      <c r="A18" s="228"/>
      <c r="B18" s="47"/>
      <c r="C18" s="382" t="s">
        <v>531</v>
      </c>
      <c r="D18" s="383" t="s">
        <v>96</v>
      </c>
      <c r="E18" s="2" t="s">
        <v>532</v>
      </c>
      <c r="F18" s="379"/>
      <c r="G18" s="382" t="s">
        <v>533</v>
      </c>
      <c r="H18" s="2">
        <f>D21</f>
        <v>16.600000000000001</v>
      </c>
      <c r="I18" s="2" t="s">
        <v>534</v>
      </c>
      <c r="J18" s="379"/>
      <c r="K18" s="388"/>
      <c r="L18" s="388"/>
      <c r="M18" s="388"/>
      <c r="N18" s="381"/>
      <c r="O18" s="346"/>
      <c r="P18"/>
      <c r="Q18"/>
      <c r="T18"/>
    </row>
    <row r="19" spans="1:32" ht="30" customHeight="1" x14ac:dyDescent="0.3">
      <c r="A19" s="228"/>
      <c r="B19" s="47"/>
      <c r="C19" s="382" t="s">
        <v>535</v>
      </c>
      <c r="D19" s="11">
        <v>30</v>
      </c>
      <c r="E19" s="2" t="s">
        <v>518</v>
      </c>
      <c r="F19" s="379"/>
      <c r="G19" s="386" t="s">
        <v>536</v>
      </c>
      <c r="H19" s="2">
        <v>175</v>
      </c>
      <c r="I19" s="50" t="s">
        <v>537</v>
      </c>
      <c r="J19" s="379"/>
      <c r="K19" s="379"/>
      <c r="L19" s="375"/>
      <c r="M19" s="379"/>
      <c r="N19" s="381"/>
      <c r="O19" s="346"/>
      <c r="P19"/>
      <c r="Q19"/>
      <c r="T19"/>
    </row>
    <row r="20" spans="1:32" ht="30" customHeight="1" x14ac:dyDescent="0.3">
      <c r="A20" s="228"/>
      <c r="B20" s="47"/>
      <c r="C20" s="382" t="s">
        <v>538</v>
      </c>
      <c r="D20" s="11">
        <v>15</v>
      </c>
      <c r="E20" s="2" t="s">
        <v>518</v>
      </c>
      <c r="F20" s="379"/>
      <c r="G20" s="2"/>
      <c r="H20" s="21"/>
      <c r="I20" s="21"/>
      <c r="J20" s="379"/>
      <c r="K20" s="379"/>
      <c r="L20" s="375"/>
      <c r="M20" s="379"/>
      <c r="N20" s="381"/>
      <c r="O20" s="346"/>
      <c r="P20"/>
      <c r="Q20"/>
      <c r="T20"/>
    </row>
    <row r="21" spans="1:32" ht="30" customHeight="1" x14ac:dyDescent="0.3">
      <c r="A21" s="228"/>
      <c r="B21" s="47"/>
      <c r="C21" s="382" t="s">
        <v>539</v>
      </c>
      <c r="D21" s="2">
        <v>16.600000000000001</v>
      </c>
      <c r="E21" s="2" t="s">
        <v>534</v>
      </c>
      <c r="F21" s="379"/>
      <c r="G21" s="389" t="s">
        <v>540</v>
      </c>
      <c r="H21" s="390">
        <f>((D16*D17)/(H18*H19))*(LN((H16-H14)/(H17-H14)))</f>
        <v>0.83975272892114095</v>
      </c>
      <c r="I21" s="389" t="s">
        <v>541</v>
      </c>
      <c r="J21" s="379"/>
      <c r="K21" s="388"/>
      <c r="L21" s="391"/>
      <c r="M21" s="388"/>
      <c r="N21" s="381"/>
      <c r="O21" s="346"/>
      <c r="P21"/>
      <c r="Q21"/>
      <c r="T21"/>
    </row>
    <row r="22" spans="1:32" ht="30" customHeight="1" x14ac:dyDescent="0.3">
      <c r="A22" s="228"/>
      <c r="B22" s="47"/>
      <c r="C22" s="392" t="s">
        <v>542</v>
      </c>
      <c r="D22" s="393">
        <f>D16*D17*(D19-D20)</f>
        <v>34650</v>
      </c>
      <c r="E22" s="389" t="s">
        <v>543</v>
      </c>
      <c r="F22" s="379"/>
      <c r="G22" s="670" t="s">
        <v>544</v>
      </c>
      <c r="H22" s="671"/>
      <c r="I22" s="672"/>
      <c r="J22" s="379"/>
      <c r="K22" s="388"/>
      <c r="L22" s="397"/>
      <c r="M22" s="388"/>
      <c r="N22" s="381"/>
      <c r="O22" s="346"/>
      <c r="P22"/>
      <c r="Q22"/>
      <c r="T22"/>
    </row>
    <row r="23" spans="1:32" ht="30" customHeight="1" x14ac:dyDescent="0.3">
      <c r="A23" s="228"/>
      <c r="B23" s="47"/>
      <c r="C23" s="379"/>
      <c r="D23" s="375"/>
      <c r="E23" s="379"/>
      <c r="F23" s="379"/>
      <c r="G23" s="398" t="s">
        <v>545</v>
      </c>
      <c r="H23" s="399">
        <v>45</v>
      </c>
      <c r="I23" s="400" t="s">
        <v>546</v>
      </c>
      <c r="J23" s="379"/>
      <c r="K23" s="388"/>
      <c r="L23" s="401"/>
      <c r="M23" s="401"/>
      <c r="N23" s="381"/>
      <c r="O23" s="346"/>
      <c r="P23"/>
      <c r="Q23"/>
      <c r="T23"/>
    </row>
    <row r="24" spans="1:32" ht="30" customHeight="1" thickBot="1" x14ac:dyDescent="0.35">
      <c r="A24" s="228"/>
      <c r="B24" s="402"/>
      <c r="C24" s="403"/>
      <c r="D24" s="403"/>
      <c r="E24" s="403"/>
      <c r="F24" s="403"/>
      <c r="G24" s="398" t="s">
        <v>545</v>
      </c>
      <c r="H24" s="404">
        <f>H23/60</f>
        <v>0.75</v>
      </c>
      <c r="I24" s="400" t="s">
        <v>541</v>
      </c>
      <c r="J24" s="403"/>
      <c r="K24" s="403"/>
      <c r="L24" s="405"/>
      <c r="M24" s="403"/>
      <c r="N24" s="406"/>
      <c r="O24" s="346"/>
      <c r="P24"/>
      <c r="Q24"/>
      <c r="T24"/>
    </row>
    <row r="25" spans="1:32" ht="55.5" customHeight="1" x14ac:dyDescent="0.3">
      <c r="A25" s="228"/>
      <c r="B25" s="365" t="s">
        <v>498</v>
      </c>
      <c r="C25" s="366" t="s">
        <v>499</v>
      </c>
      <c r="D25" s="366" t="s">
        <v>500</v>
      </c>
      <c r="E25" s="366" t="s">
        <v>501</v>
      </c>
      <c r="F25" s="366" t="s">
        <v>502</v>
      </c>
      <c r="G25" s="366" t="s">
        <v>503</v>
      </c>
      <c r="H25" s="366" t="s">
        <v>504</v>
      </c>
      <c r="I25" s="366" t="s">
        <v>505</v>
      </c>
      <c r="J25" s="366" t="s">
        <v>506</v>
      </c>
      <c r="K25" s="366" t="s">
        <v>507</v>
      </c>
      <c r="L25" s="366" t="s">
        <v>547</v>
      </c>
      <c r="M25" s="679" t="s">
        <v>509</v>
      </c>
      <c r="N25" s="680"/>
      <c r="O25" s="346"/>
      <c r="P25"/>
      <c r="Q25"/>
      <c r="T25"/>
    </row>
    <row r="26" spans="1:32" s="13" customFormat="1" ht="35.25" customHeight="1" thickBot="1" x14ac:dyDescent="0.35">
      <c r="A26" s="407"/>
      <c r="B26" s="369" t="s">
        <v>548</v>
      </c>
      <c r="C26" s="239" t="s">
        <v>158</v>
      </c>
      <c r="D26" s="212">
        <v>6.3</v>
      </c>
      <c r="E26" s="212" t="s">
        <v>511</v>
      </c>
      <c r="F26" s="222" t="s">
        <v>96</v>
      </c>
      <c r="G26" s="222">
        <v>8</v>
      </c>
      <c r="H26" s="370" t="s">
        <v>96</v>
      </c>
      <c r="I26" s="212" t="s">
        <v>96</v>
      </c>
      <c r="J26" s="212" t="s">
        <v>96</v>
      </c>
      <c r="K26" s="222" t="s">
        <v>96</v>
      </c>
      <c r="L26" s="371">
        <f>H42</f>
        <v>0.33333333333333331</v>
      </c>
      <c r="M26" s="681" t="e">
        <f>#REF!</f>
        <v>#REF!</v>
      </c>
      <c r="N26" s="682"/>
      <c r="O26" s="34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ht="26.25" customHeight="1" x14ac:dyDescent="0.3">
      <c r="A27" s="228"/>
      <c r="B27" s="683"/>
      <c r="C27" s="628"/>
      <c r="D27" s="628"/>
      <c r="E27" s="628"/>
      <c r="F27" s="628"/>
      <c r="G27" s="628"/>
      <c r="H27" s="628"/>
      <c r="I27" s="628"/>
      <c r="J27" s="628"/>
      <c r="K27" s="628"/>
      <c r="L27" s="628"/>
      <c r="M27" s="628"/>
      <c r="N27" s="629"/>
      <c r="O27" s="346"/>
      <c r="P27"/>
      <c r="Q27"/>
      <c r="T27"/>
    </row>
    <row r="28" spans="1:32" ht="30" customHeight="1" x14ac:dyDescent="0.3">
      <c r="A28" s="228"/>
      <c r="B28" s="47"/>
      <c r="C28" s="379"/>
      <c r="D28" s="375"/>
      <c r="E28" s="379"/>
      <c r="F28" s="379"/>
      <c r="G28"/>
      <c r="H28"/>
      <c r="I28"/>
      <c r="J28" s="379"/>
      <c r="K28" s="388"/>
      <c r="L28" s="401"/>
      <c r="M28" s="401"/>
      <c r="N28" s="381"/>
      <c r="O28" s="229"/>
      <c r="P28"/>
      <c r="Q28"/>
      <c r="T28"/>
    </row>
    <row r="29" spans="1:32" ht="30" customHeight="1" x14ac:dyDescent="0.3">
      <c r="A29" s="228"/>
      <c r="B29" s="47"/>
      <c r="C29" s="379"/>
      <c r="D29" s="375"/>
      <c r="E29" s="379"/>
      <c r="F29" s="379"/>
      <c r="G29"/>
      <c r="H29"/>
      <c r="I29"/>
      <c r="J29" s="379"/>
      <c r="K29" s="388"/>
      <c r="L29" s="401"/>
      <c r="M29" s="401"/>
      <c r="N29" s="381"/>
      <c r="O29" s="229"/>
      <c r="P29"/>
      <c r="Q29"/>
      <c r="T29"/>
    </row>
    <row r="30" spans="1:32" ht="25.5" customHeight="1" x14ac:dyDescent="0.3">
      <c r="A30" s="228"/>
      <c r="B30" s="47"/>
      <c r="C30" s="673" t="s">
        <v>549</v>
      </c>
      <c r="D30" s="674"/>
      <c r="E30" s="675"/>
      <c r="F30" s="375"/>
      <c r="G30" s="673" t="s">
        <v>550</v>
      </c>
      <c r="H30" s="674"/>
      <c r="I30" s="675"/>
      <c r="J30" s="375"/>
      <c r="K30" s="673" t="s">
        <v>551</v>
      </c>
      <c r="L30" s="674"/>
      <c r="M30" s="675"/>
      <c r="N30" s="376"/>
      <c r="O30" s="229"/>
      <c r="P30"/>
      <c r="Q30"/>
      <c r="T30"/>
    </row>
    <row r="31" spans="1:32" ht="30" customHeight="1" x14ac:dyDescent="0.3">
      <c r="A31" s="228"/>
      <c r="B31" s="47"/>
      <c r="C31" s="377"/>
      <c r="D31" s="11"/>
      <c r="E31" s="378"/>
      <c r="F31" s="379"/>
      <c r="G31" s="380"/>
      <c r="H31" s="380"/>
      <c r="I31" s="380"/>
      <c r="J31" s="379"/>
      <c r="K31" s="378"/>
      <c r="L31" s="2"/>
      <c r="M31" s="378"/>
      <c r="N31" s="381"/>
      <c r="O31" s="229"/>
      <c r="P31"/>
      <c r="Q31"/>
      <c r="T31"/>
    </row>
    <row r="32" spans="1:32" ht="30" customHeight="1" x14ac:dyDescent="0.3">
      <c r="A32" s="228"/>
      <c r="B32" s="47"/>
      <c r="C32" s="382" t="s">
        <v>515</v>
      </c>
      <c r="D32" s="383">
        <f>D26</f>
        <v>6.3</v>
      </c>
      <c r="E32" s="2" t="s">
        <v>516</v>
      </c>
      <c r="F32" s="379"/>
      <c r="G32" s="382" t="s">
        <v>517</v>
      </c>
      <c r="H32" s="408">
        <v>-15</v>
      </c>
      <c r="I32" s="2" t="s">
        <v>518</v>
      </c>
      <c r="J32" s="379"/>
      <c r="K32" s="21" t="s">
        <v>519</v>
      </c>
      <c r="L32" s="163">
        <f>D40/H42</f>
        <v>48510</v>
      </c>
      <c r="M32" s="2" t="s">
        <v>520</v>
      </c>
      <c r="N32" s="381"/>
      <c r="O32" s="229"/>
      <c r="P32"/>
      <c r="Q32"/>
      <c r="T32"/>
    </row>
    <row r="33" spans="1:20" ht="30" customHeight="1" x14ac:dyDescent="0.3">
      <c r="A33" s="228"/>
      <c r="B33" s="47"/>
      <c r="C33" s="382" t="s">
        <v>521</v>
      </c>
      <c r="D33" s="11" t="s">
        <v>96</v>
      </c>
      <c r="E33" s="2" t="s">
        <v>522</v>
      </c>
      <c r="F33" s="379"/>
      <c r="G33" s="382" t="s">
        <v>523</v>
      </c>
      <c r="H33" s="11">
        <f>D35</f>
        <v>0.7</v>
      </c>
      <c r="I33" s="2" t="s">
        <v>524</v>
      </c>
      <c r="J33" s="379"/>
      <c r="K33" s="384" t="s">
        <v>602</v>
      </c>
      <c r="L33" s="462">
        <f>IF(L32/5/1000&lt;14.2,14.2,L32/5/1000)</f>
        <v>14.2</v>
      </c>
      <c r="M33" s="133" t="s">
        <v>525</v>
      </c>
      <c r="N33" s="381"/>
      <c r="O33" s="229"/>
      <c r="P33"/>
      <c r="Q33"/>
      <c r="T33"/>
    </row>
    <row r="34" spans="1:20" ht="30" customHeight="1" x14ac:dyDescent="0.3">
      <c r="A34" s="228"/>
      <c r="B34" s="47"/>
      <c r="C34" s="382" t="s">
        <v>526</v>
      </c>
      <c r="D34" s="383">
        <f>D16</f>
        <v>3300</v>
      </c>
      <c r="E34" s="2" t="s">
        <v>527</v>
      </c>
      <c r="F34" s="379"/>
      <c r="G34" s="382" t="s">
        <v>528</v>
      </c>
      <c r="H34" s="11">
        <f>D37</f>
        <v>15</v>
      </c>
      <c r="I34" s="2" t="s">
        <v>518</v>
      </c>
      <c r="J34" s="379"/>
      <c r="K34" s="382" t="s">
        <v>601</v>
      </c>
      <c r="L34" s="11">
        <f>L32/5/1000</f>
        <v>9.702</v>
      </c>
      <c r="M34" s="387"/>
      <c r="N34" s="381"/>
      <c r="O34" s="229"/>
      <c r="P34"/>
      <c r="Q34"/>
      <c r="T34"/>
    </row>
    <row r="35" spans="1:20" ht="30" customHeight="1" x14ac:dyDescent="0.3">
      <c r="A35" s="228"/>
      <c r="B35" s="47"/>
      <c r="C35" s="382" t="s">
        <v>529</v>
      </c>
      <c r="D35" s="11">
        <v>0.7</v>
      </c>
      <c r="E35" s="2" t="s">
        <v>524</v>
      </c>
      <c r="F35" s="379"/>
      <c r="G35" s="382" t="s">
        <v>530</v>
      </c>
      <c r="H35" s="11">
        <f>D38</f>
        <v>8</v>
      </c>
      <c r="I35" s="2" t="s">
        <v>518</v>
      </c>
      <c r="J35" s="379"/>
      <c r="K35" s="388"/>
      <c r="L35" s="388"/>
      <c r="M35" s="388"/>
      <c r="N35" s="381"/>
      <c r="O35" s="229"/>
      <c r="P35"/>
      <c r="Q35"/>
      <c r="T35"/>
    </row>
    <row r="36" spans="1:20" ht="30" customHeight="1" x14ac:dyDescent="0.3">
      <c r="A36" s="228"/>
      <c r="B36" s="47"/>
      <c r="C36" s="382" t="s">
        <v>531</v>
      </c>
      <c r="D36" s="383" t="s">
        <v>96</v>
      </c>
      <c r="E36" s="2" t="s">
        <v>532</v>
      </c>
      <c r="F36" s="379"/>
      <c r="G36" s="382" t="s">
        <v>533</v>
      </c>
      <c r="H36" s="2">
        <f>D39</f>
        <v>16.600000000000001</v>
      </c>
      <c r="I36" s="2" t="s">
        <v>534</v>
      </c>
      <c r="J36" s="379"/>
      <c r="K36" s="388"/>
      <c r="L36" s="388"/>
      <c r="M36" s="388"/>
      <c r="N36" s="381"/>
      <c r="O36" s="229"/>
      <c r="P36"/>
      <c r="Q36"/>
      <c r="T36"/>
    </row>
    <row r="37" spans="1:20" ht="30" customHeight="1" x14ac:dyDescent="0.3">
      <c r="A37" s="228"/>
      <c r="B37" s="47"/>
      <c r="C37" s="382" t="s">
        <v>535</v>
      </c>
      <c r="D37" s="11">
        <v>15</v>
      </c>
      <c r="E37" s="2" t="s">
        <v>518</v>
      </c>
      <c r="F37" s="379"/>
      <c r="G37" s="382" t="s">
        <v>536</v>
      </c>
      <c r="H37" s="2">
        <v>150</v>
      </c>
      <c r="I37" s="21" t="s">
        <v>537</v>
      </c>
      <c r="J37" s="379"/>
      <c r="K37" s="379"/>
      <c r="L37" s="375"/>
      <c r="M37" s="379"/>
      <c r="N37" s="381"/>
      <c r="O37" s="229"/>
      <c r="P37"/>
      <c r="Q37"/>
      <c r="T37"/>
    </row>
    <row r="38" spans="1:20" ht="30" customHeight="1" x14ac:dyDescent="0.3">
      <c r="A38" s="228"/>
      <c r="B38" s="47"/>
      <c r="C38" s="382" t="s">
        <v>538</v>
      </c>
      <c r="D38" s="408">
        <v>8</v>
      </c>
      <c r="E38" s="2" t="s">
        <v>518</v>
      </c>
      <c r="F38" s="379"/>
      <c r="G38" s="2"/>
      <c r="H38" s="21"/>
      <c r="I38" s="21"/>
      <c r="J38" s="379"/>
      <c r="K38" s="379"/>
      <c r="L38" s="375"/>
      <c r="M38" s="379"/>
      <c r="N38" s="381"/>
      <c r="O38" s="229"/>
      <c r="P38"/>
      <c r="Q38"/>
      <c r="T38"/>
    </row>
    <row r="39" spans="1:20" ht="30" customHeight="1" x14ac:dyDescent="0.3">
      <c r="A39" s="228"/>
      <c r="B39" s="47"/>
      <c r="C39" s="382" t="s">
        <v>539</v>
      </c>
      <c r="D39" s="2">
        <v>16.600000000000001</v>
      </c>
      <c r="E39" s="2" t="s">
        <v>534</v>
      </c>
      <c r="F39" s="379"/>
      <c r="G39" s="389" t="s">
        <v>540</v>
      </c>
      <c r="H39" s="390">
        <f>((D34*D35)/(H36*H37))*(LN((H34)-(H32))/((H35)-(H32)))</f>
        <v>0.13718816049658772</v>
      </c>
      <c r="I39" s="389" t="s">
        <v>541</v>
      </c>
      <c r="J39" s="379"/>
      <c r="K39" s="388"/>
      <c r="L39" s="391"/>
      <c r="M39" s="388"/>
      <c r="N39" s="381"/>
      <c r="O39" s="229"/>
      <c r="P39"/>
      <c r="Q39"/>
      <c r="T39"/>
    </row>
    <row r="40" spans="1:20" ht="30" customHeight="1" x14ac:dyDescent="0.3">
      <c r="A40" s="228"/>
      <c r="B40" s="47"/>
      <c r="C40" s="392" t="s">
        <v>542</v>
      </c>
      <c r="D40" s="393">
        <f>D34*D35*(D37-D38)</f>
        <v>16170</v>
      </c>
      <c r="E40" s="389" t="s">
        <v>543</v>
      </c>
      <c r="F40" s="379"/>
      <c r="G40" s="670" t="s">
        <v>544</v>
      </c>
      <c r="H40" s="671"/>
      <c r="I40" s="672"/>
      <c r="J40" s="379"/>
      <c r="K40" s="388"/>
      <c r="L40" s="397"/>
      <c r="M40" s="388"/>
      <c r="N40" s="381"/>
      <c r="O40" s="229"/>
      <c r="P40"/>
      <c r="Q40"/>
      <c r="T40"/>
    </row>
    <row r="41" spans="1:20" ht="30" customHeight="1" x14ac:dyDescent="0.3">
      <c r="A41" s="228"/>
      <c r="B41" s="47"/>
      <c r="C41" s="409"/>
      <c r="D41" s="410"/>
      <c r="E41" s="411"/>
      <c r="F41" s="379"/>
      <c r="G41" s="398" t="s">
        <v>545</v>
      </c>
      <c r="H41" s="399">
        <v>20</v>
      </c>
      <c r="I41" s="400" t="s">
        <v>546</v>
      </c>
      <c r="J41" s="379"/>
      <c r="K41" s="388"/>
      <c r="L41" s="397"/>
      <c r="M41" s="388"/>
      <c r="N41" s="381"/>
      <c r="O41" s="229"/>
      <c r="P41"/>
      <c r="Q41"/>
      <c r="T41"/>
    </row>
    <row r="42" spans="1:20" ht="30" customHeight="1" x14ac:dyDescent="0.3">
      <c r="A42" s="228"/>
      <c r="B42" s="47"/>
      <c r="C42" s="409"/>
      <c r="D42" s="410"/>
      <c r="E42" s="411"/>
      <c r="F42" s="379"/>
      <c r="G42" s="398" t="s">
        <v>545</v>
      </c>
      <c r="H42" s="404">
        <f>H41/60</f>
        <v>0.33333333333333331</v>
      </c>
      <c r="I42" s="400" t="s">
        <v>541</v>
      </c>
      <c r="J42" s="379"/>
      <c r="K42" s="388"/>
      <c r="L42" s="397"/>
      <c r="M42" s="388"/>
      <c r="N42" s="381"/>
      <c r="O42" s="229"/>
      <c r="P42"/>
      <c r="Q42"/>
      <c r="T42"/>
    </row>
    <row r="43" spans="1:20" ht="30" customHeight="1" x14ac:dyDescent="0.3">
      <c r="A43" s="228"/>
      <c r="B43" s="47"/>
      <c r="C43" s="409"/>
      <c r="D43" s="410"/>
      <c r="E43" s="411"/>
      <c r="F43" s="379"/>
      <c r="G43"/>
      <c r="H43"/>
      <c r="I43"/>
      <c r="J43" s="379"/>
      <c r="K43" s="388"/>
      <c r="L43" s="397"/>
      <c r="M43" s="388"/>
      <c r="N43" s="381"/>
      <c r="O43" s="229"/>
      <c r="P43"/>
      <c r="Q43"/>
      <c r="T43"/>
    </row>
    <row r="44" spans="1:20" ht="30" customHeight="1" thickBot="1" x14ac:dyDescent="0.35">
      <c r="A44" s="228"/>
      <c r="B44" s="47"/>
      <c r="C44" s="379"/>
      <c r="D44" s="375"/>
      <c r="E44" s="379"/>
      <c r="F44" s="379"/>
      <c r="G44"/>
      <c r="H44"/>
      <c r="I44"/>
      <c r="J44" s="379"/>
      <c r="K44" s="388"/>
      <c r="L44" s="401"/>
      <c r="M44" s="401"/>
      <c r="N44" s="381"/>
      <c r="O44" s="229"/>
      <c r="P44"/>
      <c r="Q44"/>
      <c r="T44"/>
    </row>
    <row r="45" spans="1:20" ht="30" customHeight="1" thickBot="1" x14ac:dyDescent="0.35">
      <c r="A45" s="228"/>
      <c r="B45" s="705" t="s">
        <v>552</v>
      </c>
      <c r="C45" s="706"/>
      <c r="D45" s="706"/>
      <c r="E45" s="706"/>
      <c r="F45" s="706"/>
      <c r="G45" s="706"/>
      <c r="H45" s="706"/>
      <c r="I45" s="706"/>
      <c r="J45" s="706"/>
      <c r="K45" s="706"/>
      <c r="L45" s="706"/>
      <c r="M45" s="706"/>
      <c r="N45" s="707"/>
      <c r="O45" s="229"/>
      <c r="P45"/>
      <c r="Q45"/>
      <c r="T45"/>
    </row>
    <row r="46" spans="1:20" ht="54.75" customHeight="1" thickBot="1" x14ac:dyDescent="0.35">
      <c r="A46" s="228"/>
      <c r="B46" s="412" t="s">
        <v>498</v>
      </c>
      <c r="C46" s="66" t="s">
        <v>499</v>
      </c>
      <c r="D46" s="66" t="s">
        <v>500</v>
      </c>
      <c r="E46" s="66" t="s">
        <v>501</v>
      </c>
      <c r="F46" s="66" t="s">
        <v>502</v>
      </c>
      <c r="G46" s="66" t="s">
        <v>503</v>
      </c>
      <c r="H46" s="66" t="s">
        <v>504</v>
      </c>
      <c r="I46" s="66" t="s">
        <v>505</v>
      </c>
      <c r="J46" s="66" t="s">
        <v>506</v>
      </c>
      <c r="K46" s="66" t="s">
        <v>507</v>
      </c>
      <c r="L46" s="66" t="s">
        <v>508</v>
      </c>
      <c r="M46" s="708" t="s">
        <v>553</v>
      </c>
      <c r="N46" s="709"/>
      <c r="O46" s="229"/>
      <c r="P46"/>
      <c r="Q46"/>
      <c r="T46"/>
    </row>
    <row r="47" spans="1:20" ht="34.5" customHeight="1" thickBot="1" x14ac:dyDescent="0.35">
      <c r="A47" s="228"/>
      <c r="B47" s="413" t="s">
        <v>554</v>
      </c>
      <c r="C47" s="414" t="s">
        <v>555</v>
      </c>
      <c r="D47" s="414">
        <v>3</v>
      </c>
      <c r="E47" s="414" t="s">
        <v>511</v>
      </c>
      <c r="F47" s="415" t="s">
        <v>96</v>
      </c>
      <c r="G47" s="416">
        <v>25</v>
      </c>
      <c r="H47" s="417" t="s">
        <v>96</v>
      </c>
      <c r="I47" s="414" t="s">
        <v>96</v>
      </c>
      <c r="J47" s="414" t="s">
        <v>96</v>
      </c>
      <c r="K47" s="414" t="s">
        <v>96</v>
      </c>
      <c r="L47" s="418">
        <f>H61</f>
        <v>0.33333333333333331</v>
      </c>
      <c r="M47" s="684">
        <f>L52</f>
        <v>14.2</v>
      </c>
      <c r="N47" s="685"/>
      <c r="O47" s="229"/>
      <c r="P47"/>
      <c r="Q47"/>
      <c r="T47"/>
    </row>
    <row r="48" spans="1:20" ht="25.5" customHeight="1" x14ac:dyDescent="0.3">
      <c r="A48" s="228"/>
      <c r="B48" s="683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9"/>
      <c r="O48" s="229"/>
      <c r="P48"/>
      <c r="Q48"/>
      <c r="T48"/>
    </row>
    <row r="49" spans="1:20" ht="35.25" customHeight="1" x14ac:dyDescent="0.3">
      <c r="A49" s="228"/>
      <c r="B49" s="47"/>
      <c r="C49" s="673" t="s">
        <v>512</v>
      </c>
      <c r="D49" s="674"/>
      <c r="E49" s="675"/>
      <c r="F49" s="375"/>
      <c r="G49" s="673" t="s">
        <v>513</v>
      </c>
      <c r="H49" s="674"/>
      <c r="I49" s="675"/>
      <c r="J49" s="375"/>
      <c r="K49" s="673" t="s">
        <v>514</v>
      </c>
      <c r="L49" s="674"/>
      <c r="M49" s="675"/>
      <c r="N49" s="376"/>
      <c r="O49" s="229"/>
      <c r="P49"/>
      <c r="Q49"/>
      <c r="T49"/>
    </row>
    <row r="50" spans="1:20" ht="30.75" customHeight="1" x14ac:dyDescent="0.3">
      <c r="A50" s="228"/>
      <c r="B50" s="47"/>
      <c r="C50" s="377"/>
      <c r="D50" s="11"/>
      <c r="E50" s="378"/>
      <c r="F50" s="379"/>
      <c r="G50" s="380"/>
      <c r="H50" s="380"/>
      <c r="I50" s="380"/>
      <c r="J50" s="379"/>
      <c r="K50" s="378"/>
      <c r="L50" s="2"/>
      <c r="M50" s="378"/>
      <c r="N50" s="381"/>
      <c r="O50" s="229"/>
      <c r="P50"/>
      <c r="Q50"/>
      <c r="T50"/>
    </row>
    <row r="51" spans="1:20" ht="30.75" customHeight="1" x14ac:dyDescent="0.3">
      <c r="A51" s="228"/>
      <c r="B51" s="47"/>
      <c r="C51" s="382" t="s">
        <v>515</v>
      </c>
      <c r="D51" s="383">
        <f>D47</f>
        <v>3</v>
      </c>
      <c r="E51" s="2" t="s">
        <v>516</v>
      </c>
      <c r="F51" s="379"/>
      <c r="G51" s="382" t="s">
        <v>517</v>
      </c>
      <c r="H51" s="3">
        <v>7</v>
      </c>
      <c r="I51" s="2" t="s">
        <v>518</v>
      </c>
      <c r="J51" s="379"/>
      <c r="K51" s="21" t="s">
        <v>519</v>
      </c>
      <c r="L51" s="163">
        <f>D59/H61</f>
        <v>15224.999999999998</v>
      </c>
      <c r="M51" s="2" t="s">
        <v>520</v>
      </c>
      <c r="N51" s="381"/>
      <c r="O51" s="229"/>
      <c r="P51"/>
      <c r="Q51"/>
      <c r="T51"/>
    </row>
    <row r="52" spans="1:20" ht="36" customHeight="1" x14ac:dyDescent="0.3">
      <c r="A52" s="228"/>
      <c r="B52" s="47"/>
      <c r="C52" s="382" t="s">
        <v>521</v>
      </c>
      <c r="D52" s="11" t="s">
        <v>96</v>
      </c>
      <c r="E52" s="2" t="s">
        <v>522</v>
      </c>
      <c r="F52" s="379"/>
      <c r="G52" s="382" t="s">
        <v>523</v>
      </c>
      <c r="H52" s="11">
        <f>D54</f>
        <v>0.7</v>
      </c>
      <c r="I52" s="2" t="s">
        <v>524</v>
      </c>
      <c r="J52" s="379"/>
      <c r="K52" s="431" t="s">
        <v>600</v>
      </c>
      <c r="L52" s="385">
        <f>IF(L51/5/1000&lt;14.2,14.2,L51/5/1000)</f>
        <v>14.2</v>
      </c>
      <c r="M52" s="133" t="s">
        <v>525</v>
      </c>
      <c r="N52" s="381"/>
      <c r="O52" s="229"/>
      <c r="P52"/>
      <c r="Q52"/>
      <c r="T52"/>
    </row>
    <row r="53" spans="1:20" ht="30" customHeight="1" x14ac:dyDescent="0.3">
      <c r="A53" s="228"/>
      <c r="B53" s="47"/>
      <c r="C53" s="382" t="s">
        <v>526</v>
      </c>
      <c r="D53" s="11">
        <f>xx!J18</f>
        <v>1450</v>
      </c>
      <c r="E53" s="2" t="s">
        <v>527</v>
      </c>
      <c r="F53" s="379"/>
      <c r="G53" s="382" t="s">
        <v>528</v>
      </c>
      <c r="H53" s="11">
        <f>D56</f>
        <v>30</v>
      </c>
      <c r="I53" s="2" t="s">
        <v>518</v>
      </c>
      <c r="J53" s="379"/>
      <c r="K53" s="382" t="s">
        <v>601</v>
      </c>
      <c r="L53" s="11">
        <f>L51/5/1000</f>
        <v>3.0449999999999995</v>
      </c>
      <c r="M53" s="387"/>
      <c r="N53" s="381"/>
      <c r="O53" s="229"/>
      <c r="P53"/>
      <c r="Q53"/>
      <c r="T53"/>
    </row>
    <row r="54" spans="1:20" ht="30" customHeight="1" x14ac:dyDescent="0.3">
      <c r="A54" s="228"/>
      <c r="B54" s="47"/>
      <c r="C54" s="382" t="s">
        <v>529</v>
      </c>
      <c r="D54" s="11">
        <v>0.7</v>
      </c>
      <c r="E54" s="2" t="s">
        <v>524</v>
      </c>
      <c r="F54" s="379"/>
      <c r="G54" s="382" t="s">
        <v>530</v>
      </c>
      <c r="H54" s="11">
        <f>D57</f>
        <v>25</v>
      </c>
      <c r="I54" s="2" t="s">
        <v>518</v>
      </c>
      <c r="J54" s="379"/>
      <c r="K54" s="388"/>
      <c r="L54" s="388"/>
      <c r="M54" s="388"/>
      <c r="N54" s="381"/>
      <c r="O54" s="229"/>
      <c r="P54"/>
      <c r="Q54"/>
      <c r="T54"/>
    </row>
    <row r="55" spans="1:20" ht="30" customHeight="1" x14ac:dyDescent="0.3">
      <c r="A55" s="228"/>
      <c r="B55" s="47"/>
      <c r="C55" s="382" t="s">
        <v>531</v>
      </c>
      <c r="D55" s="383" t="s">
        <v>96</v>
      </c>
      <c r="E55" s="2" t="s">
        <v>532</v>
      </c>
      <c r="F55" s="379"/>
      <c r="G55" s="382" t="s">
        <v>533</v>
      </c>
      <c r="H55" s="2">
        <f>D58</f>
        <v>9.4</v>
      </c>
      <c r="I55" s="2" t="s">
        <v>534</v>
      </c>
      <c r="J55" s="379"/>
      <c r="K55" s="388"/>
      <c r="L55" s="388"/>
      <c r="M55" s="388"/>
      <c r="N55" s="381"/>
      <c r="O55" s="229"/>
      <c r="P55"/>
      <c r="Q55"/>
      <c r="T55"/>
    </row>
    <row r="56" spans="1:20" ht="30" customHeight="1" x14ac:dyDescent="0.3">
      <c r="A56" s="228"/>
      <c r="B56" s="47"/>
      <c r="C56" s="382" t="s">
        <v>535</v>
      </c>
      <c r="D56" s="11">
        <v>30</v>
      </c>
      <c r="E56" s="2" t="s">
        <v>518</v>
      </c>
      <c r="F56" s="379"/>
      <c r="G56" s="382" t="s">
        <v>536</v>
      </c>
      <c r="H56" s="2">
        <v>175</v>
      </c>
      <c r="I56" s="21" t="s">
        <v>537</v>
      </c>
      <c r="J56" s="379"/>
      <c r="K56" s="379"/>
      <c r="L56" s="375"/>
      <c r="M56" s="379"/>
      <c r="N56" s="381"/>
      <c r="O56" s="229"/>
      <c r="P56"/>
      <c r="Q56"/>
      <c r="T56"/>
    </row>
    <row r="57" spans="1:20" ht="30" customHeight="1" x14ac:dyDescent="0.3">
      <c r="A57" s="228"/>
      <c r="B57" s="47"/>
      <c r="C57" s="382" t="s">
        <v>538</v>
      </c>
      <c r="D57" s="11">
        <f>G47</f>
        <v>25</v>
      </c>
      <c r="E57" s="2" t="s">
        <v>518</v>
      </c>
      <c r="F57" s="379"/>
      <c r="G57" s="2"/>
      <c r="H57" s="21"/>
      <c r="I57" s="21"/>
      <c r="J57" s="379"/>
      <c r="K57" s="379"/>
      <c r="L57" s="375"/>
      <c r="M57" s="379"/>
      <c r="N57" s="381"/>
      <c r="O57" s="229"/>
      <c r="P57"/>
      <c r="Q57"/>
      <c r="T57"/>
    </row>
    <row r="58" spans="1:20" ht="30" customHeight="1" x14ac:dyDescent="0.3">
      <c r="A58" s="228"/>
      <c r="B58" s="47"/>
      <c r="C58" s="382" t="s">
        <v>539</v>
      </c>
      <c r="D58" s="2">
        <v>9.4</v>
      </c>
      <c r="E58" s="2" t="s">
        <v>534</v>
      </c>
      <c r="F58" s="379"/>
      <c r="G58" s="389" t="s">
        <v>540</v>
      </c>
      <c r="H58" s="390">
        <f>((D53*D54)/(H55*H56))*(LN((H51-H53)/(H51-H54)))</f>
        <v>0.15124577197779918</v>
      </c>
      <c r="I58" s="389" t="s">
        <v>541</v>
      </c>
      <c r="J58" s="379"/>
      <c r="K58" s="388"/>
      <c r="L58" s="391"/>
      <c r="M58" s="388"/>
      <c r="N58" s="381"/>
      <c r="O58" s="229"/>
      <c r="P58"/>
      <c r="Q58"/>
      <c r="T58"/>
    </row>
    <row r="59" spans="1:20" ht="30" customHeight="1" x14ac:dyDescent="0.3">
      <c r="A59" s="228"/>
      <c r="B59" s="47"/>
      <c r="C59" s="392" t="s">
        <v>556</v>
      </c>
      <c r="D59" s="393">
        <f>D53*D54*(D56-D57)</f>
        <v>5074.9999999999991</v>
      </c>
      <c r="E59" s="389" t="s">
        <v>543</v>
      </c>
      <c r="F59" s="379"/>
      <c r="G59" s="670" t="s">
        <v>544</v>
      </c>
      <c r="H59" s="671"/>
      <c r="I59" s="672"/>
      <c r="J59" s="379"/>
      <c r="K59" s="388"/>
      <c r="L59" s="397"/>
      <c r="M59" s="388"/>
      <c r="N59" s="381"/>
      <c r="O59" s="229"/>
      <c r="P59"/>
      <c r="Q59"/>
      <c r="T59"/>
    </row>
    <row r="60" spans="1:20" ht="30" customHeight="1" x14ac:dyDescent="0.3">
      <c r="A60" s="228"/>
      <c r="B60" s="47"/>
      <c r="C60" s="392"/>
      <c r="D60" s="419"/>
      <c r="E60" s="389"/>
      <c r="F60" s="420"/>
      <c r="G60" s="398" t="s">
        <v>545</v>
      </c>
      <c r="H60" s="399">
        <v>20</v>
      </c>
      <c r="I60" s="400" t="s">
        <v>546</v>
      </c>
      <c r="J60" s="420"/>
      <c r="K60" s="420"/>
      <c r="L60" s="420"/>
      <c r="M60" s="420"/>
      <c r="N60" s="376"/>
      <c r="O60" s="229"/>
      <c r="P60"/>
      <c r="Q60"/>
      <c r="T60"/>
    </row>
    <row r="61" spans="1:20" ht="28.5" customHeight="1" x14ac:dyDescent="0.3">
      <c r="A61" s="228"/>
      <c r="B61" s="47"/>
      <c r="C61" s="409"/>
      <c r="D61" s="421"/>
      <c r="E61" s="411"/>
      <c r="F61" s="420"/>
      <c r="G61" s="398" t="s">
        <v>545</v>
      </c>
      <c r="H61" s="404">
        <f>H60/60</f>
        <v>0.33333333333333331</v>
      </c>
      <c r="I61" s="400" t="s">
        <v>541</v>
      </c>
      <c r="J61" s="420"/>
      <c r="K61" s="420"/>
      <c r="L61" s="420"/>
      <c r="M61" s="420"/>
      <c r="N61" s="376"/>
      <c r="O61" s="229"/>
      <c r="P61"/>
      <c r="Q61"/>
      <c r="T61"/>
    </row>
    <row r="62" spans="1:20" ht="28.5" customHeight="1" x14ac:dyDescent="0.3">
      <c r="A62" s="228"/>
      <c r="B62" s="47"/>
      <c r="C62" s="409"/>
      <c r="D62" s="421"/>
      <c r="E62" s="411"/>
      <c r="F62" s="420"/>
      <c r="G62" s="422"/>
      <c r="H62" s="423"/>
      <c r="I62" s="424"/>
      <c r="J62" s="420"/>
      <c r="K62" s="420"/>
      <c r="L62" s="420"/>
      <c r="M62" s="420"/>
      <c r="N62" s="376"/>
      <c r="O62" s="229"/>
      <c r="P62"/>
      <c r="Q62"/>
      <c r="T62"/>
    </row>
    <row r="63" spans="1:20" ht="28.5" customHeight="1" thickBot="1" x14ac:dyDescent="0.35">
      <c r="A63" s="228"/>
      <c r="B63" s="402"/>
      <c r="C63" s="425"/>
      <c r="D63" s="426"/>
      <c r="E63" s="427"/>
      <c r="F63" s="403"/>
      <c r="G63" s="220"/>
      <c r="H63" s="220"/>
      <c r="I63" s="220"/>
      <c r="J63" s="403"/>
      <c r="K63" s="403"/>
      <c r="L63" s="403"/>
      <c r="M63" s="403"/>
      <c r="N63" s="406"/>
      <c r="O63" s="229"/>
      <c r="P63"/>
      <c r="Q63"/>
      <c r="T63"/>
    </row>
    <row r="64" spans="1:20" ht="36" customHeight="1" thickBot="1" x14ac:dyDescent="0.35">
      <c r="A64" s="228"/>
      <c r="B64" s="694" t="s">
        <v>557</v>
      </c>
      <c r="C64" s="695"/>
      <c r="D64" s="695"/>
      <c r="E64" s="695"/>
      <c r="F64" s="695"/>
      <c r="G64" s="695"/>
      <c r="H64" s="695"/>
      <c r="I64" s="695"/>
      <c r="J64" s="695"/>
      <c r="K64" s="695"/>
      <c r="L64" s="695"/>
      <c r="M64" s="695"/>
      <c r="N64" s="696"/>
      <c r="O64" s="229"/>
      <c r="P64"/>
      <c r="Q64"/>
      <c r="T64"/>
    </row>
    <row r="65" spans="1:20" ht="58.5" customHeight="1" x14ac:dyDescent="0.3">
      <c r="A65" s="228"/>
      <c r="B65" s="365" t="s">
        <v>498</v>
      </c>
      <c r="C65" s="366" t="s">
        <v>499</v>
      </c>
      <c r="D65" s="366" t="s">
        <v>500</v>
      </c>
      <c r="E65" s="366" t="s">
        <v>501</v>
      </c>
      <c r="F65" s="366" t="s">
        <v>502</v>
      </c>
      <c r="G65" s="366" t="s">
        <v>503</v>
      </c>
      <c r="H65" s="366" t="s">
        <v>504</v>
      </c>
      <c r="I65" s="366" t="s">
        <v>505</v>
      </c>
      <c r="J65" s="366" t="s">
        <v>506</v>
      </c>
      <c r="K65" s="366" t="s">
        <v>507</v>
      </c>
      <c r="L65" s="366" t="s">
        <v>508</v>
      </c>
      <c r="M65" s="679" t="s">
        <v>509</v>
      </c>
      <c r="N65" s="680"/>
      <c r="O65" s="229"/>
      <c r="P65"/>
      <c r="Q65"/>
      <c r="T65"/>
    </row>
    <row r="66" spans="1:20" ht="35.25" customHeight="1" thickBot="1" x14ac:dyDescent="0.35">
      <c r="A66" s="228"/>
      <c r="B66" s="369" t="s">
        <v>558</v>
      </c>
      <c r="C66" s="239" t="s">
        <v>555</v>
      </c>
      <c r="D66" s="212">
        <v>10</v>
      </c>
      <c r="E66" s="212" t="s">
        <v>511</v>
      </c>
      <c r="F66" s="222" t="s">
        <v>96</v>
      </c>
      <c r="G66" s="222" t="s">
        <v>559</v>
      </c>
      <c r="H66" s="370" t="s">
        <v>96</v>
      </c>
      <c r="I66" s="212" t="s">
        <v>96</v>
      </c>
      <c r="J66" s="212" t="s">
        <v>96</v>
      </c>
      <c r="K66" s="222" t="s">
        <v>96</v>
      </c>
      <c r="L66" s="371">
        <f>H77</f>
        <v>0.23349665002342046</v>
      </c>
      <c r="M66" s="681">
        <f>L71</f>
        <v>23.9</v>
      </c>
      <c r="N66" s="682"/>
      <c r="O66" s="229"/>
      <c r="P66"/>
      <c r="Q66"/>
      <c r="T66"/>
    </row>
    <row r="67" spans="1:20" ht="28.5" customHeight="1" thickBot="1" x14ac:dyDescent="0.35">
      <c r="A67" s="228"/>
      <c r="B67" s="683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9"/>
      <c r="O67" s="229"/>
      <c r="P67"/>
      <c r="Q67"/>
      <c r="T67"/>
    </row>
    <row r="68" spans="1:20" ht="28.5" customHeight="1" x14ac:dyDescent="0.3">
      <c r="A68" s="228"/>
      <c r="B68" s="428"/>
      <c r="C68" s="697" t="s">
        <v>512</v>
      </c>
      <c r="D68" s="698"/>
      <c r="E68" s="699"/>
      <c r="F68" s="429"/>
      <c r="G68" s="697" t="s">
        <v>560</v>
      </c>
      <c r="H68" s="698"/>
      <c r="I68" s="699"/>
      <c r="J68" s="429"/>
      <c r="K68" s="697" t="s">
        <v>514</v>
      </c>
      <c r="L68" s="698"/>
      <c r="M68" s="699"/>
      <c r="N68" s="430"/>
      <c r="O68" s="229"/>
      <c r="P68"/>
      <c r="Q68"/>
      <c r="T68"/>
    </row>
    <row r="69" spans="1:20" ht="28.5" customHeight="1" x14ac:dyDescent="0.3">
      <c r="A69" s="228"/>
      <c r="B69" s="47"/>
      <c r="C69" s="377"/>
      <c r="D69" s="11"/>
      <c r="E69" s="378"/>
      <c r="F69" s="379"/>
      <c r="G69" s="380"/>
      <c r="H69" s="380"/>
      <c r="I69" s="380"/>
      <c r="J69" s="379"/>
      <c r="K69" s="378"/>
      <c r="L69" s="2"/>
      <c r="M69" s="378"/>
      <c r="N69" s="381"/>
      <c r="O69" s="229"/>
      <c r="P69"/>
      <c r="Q69"/>
      <c r="T69"/>
    </row>
    <row r="70" spans="1:20" ht="28.5" customHeight="1" x14ac:dyDescent="0.3">
      <c r="A70" s="228"/>
      <c r="B70" s="47"/>
      <c r="C70" s="382" t="s">
        <v>515</v>
      </c>
      <c r="D70" s="383">
        <f>D66</f>
        <v>10</v>
      </c>
      <c r="E70" s="2" t="s">
        <v>516</v>
      </c>
      <c r="F70" s="379"/>
      <c r="G70" s="382" t="s">
        <v>517</v>
      </c>
      <c r="H70" s="3">
        <v>7</v>
      </c>
      <c r="I70" s="2" t="s">
        <v>518</v>
      </c>
      <c r="J70" s="379"/>
      <c r="K70" s="21" t="s">
        <v>519</v>
      </c>
      <c r="L70" s="163">
        <f>D78/H80</f>
        <v>35007</v>
      </c>
      <c r="M70" s="2" t="s">
        <v>520</v>
      </c>
      <c r="N70" s="381"/>
      <c r="O70" s="229"/>
      <c r="P70"/>
      <c r="Q70"/>
      <c r="T70"/>
    </row>
    <row r="71" spans="1:20" ht="38.549999999999997" customHeight="1" x14ac:dyDescent="0.3">
      <c r="A71" s="228"/>
      <c r="B71" s="47"/>
      <c r="C71" s="382" t="s">
        <v>521</v>
      </c>
      <c r="D71" s="11" t="s">
        <v>96</v>
      </c>
      <c r="E71" s="2" t="s">
        <v>522</v>
      </c>
      <c r="F71" s="379"/>
      <c r="G71" s="382" t="s">
        <v>523</v>
      </c>
      <c r="H71" s="11">
        <f>D73</f>
        <v>0.7</v>
      </c>
      <c r="I71" s="2" t="s">
        <v>524</v>
      </c>
      <c r="J71" s="379"/>
      <c r="K71" s="431" t="s">
        <v>600</v>
      </c>
      <c r="L71" s="385">
        <f>IF(L70/5/1000&lt;23.9,23.9,L70/5/1000)</f>
        <v>23.9</v>
      </c>
      <c r="M71" s="349" t="s">
        <v>525</v>
      </c>
      <c r="N71" s="381"/>
      <c r="O71" s="229"/>
      <c r="P71"/>
      <c r="Q71"/>
      <c r="T71"/>
    </row>
    <row r="72" spans="1:20" ht="28.5" customHeight="1" x14ac:dyDescent="0.3">
      <c r="A72" s="228"/>
      <c r="B72" s="47"/>
      <c r="C72" s="382" t="s">
        <v>526</v>
      </c>
      <c r="D72" s="11">
        <f>xx!J26</f>
        <v>5001</v>
      </c>
      <c r="E72" s="2" t="s">
        <v>527</v>
      </c>
      <c r="F72" s="379"/>
      <c r="G72" s="382" t="s">
        <v>528</v>
      </c>
      <c r="H72" s="11">
        <f>D75</f>
        <v>30</v>
      </c>
      <c r="I72" s="2" t="s">
        <v>518</v>
      </c>
      <c r="J72" s="379"/>
      <c r="K72" s="382" t="s">
        <v>601</v>
      </c>
      <c r="L72" s="11">
        <f>L70/5/1000</f>
        <v>7.0013999999999994</v>
      </c>
      <c r="M72" s="380"/>
      <c r="N72" s="381"/>
      <c r="O72" s="229"/>
      <c r="P72"/>
      <c r="Q72"/>
      <c r="T72"/>
    </row>
    <row r="73" spans="1:20" ht="28.5" customHeight="1" x14ac:dyDescent="0.3">
      <c r="A73" s="228"/>
      <c r="B73" s="47"/>
      <c r="C73" s="382" t="s">
        <v>529</v>
      </c>
      <c r="D73" s="11">
        <v>0.7</v>
      </c>
      <c r="E73" s="2" t="s">
        <v>524</v>
      </c>
      <c r="F73" s="379"/>
      <c r="G73" s="382" t="s">
        <v>530</v>
      </c>
      <c r="H73" s="11">
        <f>D76</f>
        <v>25</v>
      </c>
      <c r="I73" s="2" t="s">
        <v>518</v>
      </c>
      <c r="J73" s="379"/>
      <c r="K73" s="686"/>
      <c r="L73" s="687"/>
      <c r="M73" s="688"/>
      <c r="N73" s="381"/>
      <c r="O73" s="229"/>
      <c r="P73"/>
      <c r="Q73"/>
      <c r="T73"/>
    </row>
    <row r="74" spans="1:20" ht="28.5" customHeight="1" x14ac:dyDescent="0.3">
      <c r="A74" s="228"/>
      <c r="B74" s="47"/>
      <c r="C74" s="382" t="s">
        <v>531</v>
      </c>
      <c r="D74" s="383" t="s">
        <v>96</v>
      </c>
      <c r="E74" s="2" t="s">
        <v>532</v>
      </c>
      <c r="F74" s="379"/>
      <c r="G74" s="382" t="s">
        <v>533</v>
      </c>
      <c r="H74" s="2">
        <f>D77</f>
        <v>21</v>
      </c>
      <c r="I74" s="2" t="s">
        <v>534</v>
      </c>
      <c r="J74" s="379"/>
      <c r="K74" s="689"/>
      <c r="L74" s="690"/>
      <c r="M74" s="691"/>
      <c r="N74" s="381"/>
      <c r="O74" s="229"/>
      <c r="P74"/>
      <c r="Q74"/>
      <c r="T74"/>
    </row>
    <row r="75" spans="1:20" ht="28.5" customHeight="1" x14ac:dyDescent="0.3">
      <c r="A75" s="228"/>
      <c r="B75" s="47"/>
      <c r="C75" s="382" t="s">
        <v>535</v>
      </c>
      <c r="D75" s="11">
        <v>30</v>
      </c>
      <c r="E75" s="2" t="s">
        <v>518</v>
      </c>
      <c r="F75" s="379"/>
      <c r="G75" s="382" t="s">
        <v>536</v>
      </c>
      <c r="H75" s="2">
        <v>175</v>
      </c>
      <c r="I75" s="21" t="s">
        <v>537</v>
      </c>
      <c r="J75" s="379"/>
      <c r="K75" s="379"/>
      <c r="L75" s="375"/>
      <c r="M75" s="379"/>
      <c r="N75" s="381"/>
      <c r="O75" s="229"/>
      <c r="P75"/>
      <c r="Q75"/>
      <c r="T75"/>
    </row>
    <row r="76" spans="1:20" ht="28.5" customHeight="1" x14ac:dyDescent="0.3">
      <c r="A76" s="228"/>
      <c r="B76" s="47"/>
      <c r="C76" s="382" t="s">
        <v>538</v>
      </c>
      <c r="D76" s="11">
        <v>25</v>
      </c>
      <c r="E76" s="2" t="s">
        <v>518</v>
      </c>
      <c r="F76" s="379"/>
      <c r="G76" s="2"/>
      <c r="H76" s="21"/>
      <c r="I76" s="21"/>
      <c r="J76" s="379"/>
      <c r="K76" s="379"/>
      <c r="L76" s="375"/>
      <c r="M76" s="379"/>
      <c r="N76" s="381"/>
      <c r="O76" s="229"/>
      <c r="P76"/>
      <c r="Q76"/>
      <c r="T76"/>
    </row>
    <row r="77" spans="1:20" ht="28.5" customHeight="1" x14ac:dyDescent="0.3">
      <c r="A77" s="228"/>
      <c r="B77" s="47"/>
      <c r="C77" s="382" t="s">
        <v>539</v>
      </c>
      <c r="D77" s="2">
        <v>21</v>
      </c>
      <c r="E77" s="378" t="s">
        <v>534</v>
      </c>
      <c r="F77" s="379"/>
      <c r="G77" s="389" t="s">
        <v>540</v>
      </c>
      <c r="H77" s="390">
        <f>((D72*D73)/(H74*H75))*(LN((H72-H70)/(H73-H70)))</f>
        <v>0.23349665002342046</v>
      </c>
      <c r="I77" s="389" t="s">
        <v>541</v>
      </c>
      <c r="J77" s="379"/>
      <c r="K77" s="388"/>
      <c r="L77" s="391"/>
      <c r="M77" s="388"/>
      <c r="N77" s="381"/>
      <c r="O77" s="229"/>
      <c r="P77"/>
      <c r="Q77"/>
      <c r="T77"/>
    </row>
    <row r="78" spans="1:20" ht="28.5" customHeight="1" x14ac:dyDescent="0.3">
      <c r="A78" s="228"/>
      <c r="B78" s="47"/>
      <c r="C78" s="392" t="s">
        <v>542</v>
      </c>
      <c r="D78" s="393">
        <f>D72*D73*(D75-D76)</f>
        <v>17503.5</v>
      </c>
      <c r="E78" s="389" t="s">
        <v>543</v>
      </c>
      <c r="F78" s="379"/>
      <c r="G78" s="670" t="s">
        <v>544</v>
      </c>
      <c r="H78" s="671"/>
      <c r="I78" s="672"/>
      <c r="J78" s="379"/>
      <c r="K78" s="388"/>
      <c r="L78" s="397"/>
      <c r="M78" s="388"/>
      <c r="N78" s="381"/>
      <c r="O78" s="229"/>
      <c r="P78"/>
      <c r="Q78"/>
      <c r="T78"/>
    </row>
    <row r="79" spans="1:20" ht="28.5" customHeight="1" x14ac:dyDescent="0.3">
      <c r="A79" s="228"/>
      <c r="B79" s="47"/>
      <c r="C79" s="379"/>
      <c r="D79" s="375"/>
      <c r="E79" s="379"/>
      <c r="F79" s="379"/>
      <c r="G79" s="398" t="s">
        <v>545</v>
      </c>
      <c r="H79" s="399">
        <v>30</v>
      </c>
      <c r="I79" s="400" t="s">
        <v>546</v>
      </c>
      <c r="J79" s="379"/>
      <c r="K79" s="388"/>
      <c r="L79" s="401"/>
      <c r="M79" s="401"/>
      <c r="N79" s="381"/>
      <c r="O79" s="229"/>
      <c r="P79"/>
      <c r="Q79"/>
      <c r="T79"/>
    </row>
    <row r="80" spans="1:20" ht="28.5" customHeight="1" x14ac:dyDescent="0.3">
      <c r="A80" s="228"/>
      <c r="B80" s="47"/>
      <c r="C80" s="420"/>
      <c r="D80" s="420"/>
      <c r="E80" s="420"/>
      <c r="F80" s="420"/>
      <c r="G80" s="398" t="s">
        <v>545</v>
      </c>
      <c r="H80" s="404">
        <f>H79/60</f>
        <v>0.5</v>
      </c>
      <c r="I80" s="400" t="s">
        <v>541</v>
      </c>
      <c r="J80" s="420"/>
      <c r="K80" s="420"/>
      <c r="L80" s="375"/>
      <c r="M80" s="420"/>
      <c r="N80" s="376"/>
      <c r="O80" s="229"/>
      <c r="P80"/>
      <c r="Q80"/>
      <c r="T80"/>
    </row>
    <row r="81" spans="1:20" ht="28.5" customHeight="1" thickBot="1" x14ac:dyDescent="0.35">
      <c r="A81" s="228"/>
      <c r="B81" s="402"/>
      <c r="C81" s="403"/>
      <c r="D81" s="403"/>
      <c r="E81" s="403"/>
      <c r="F81" s="403"/>
      <c r="G81" s="433"/>
      <c r="H81" s="434"/>
      <c r="I81" s="435"/>
      <c r="J81" s="403"/>
      <c r="K81" s="403"/>
      <c r="L81" s="405"/>
      <c r="M81" s="403"/>
      <c r="N81" s="406"/>
      <c r="O81" s="229"/>
      <c r="P81"/>
      <c r="Q81"/>
      <c r="T81"/>
    </row>
    <row r="82" spans="1:20" ht="50.1" customHeight="1" x14ac:dyDescent="0.3">
      <c r="A82" s="228"/>
      <c r="B82" s="436" t="s">
        <v>498</v>
      </c>
      <c r="C82" s="437" t="s">
        <v>499</v>
      </c>
      <c r="D82" s="437" t="s">
        <v>500</v>
      </c>
      <c r="E82" s="437" t="s">
        <v>501</v>
      </c>
      <c r="F82" s="437" t="s">
        <v>502</v>
      </c>
      <c r="G82" s="437" t="s">
        <v>503</v>
      </c>
      <c r="H82" s="437" t="s">
        <v>504</v>
      </c>
      <c r="I82" s="437" t="s">
        <v>505</v>
      </c>
      <c r="J82" s="437" t="s">
        <v>506</v>
      </c>
      <c r="K82" s="437" t="s">
        <v>507</v>
      </c>
      <c r="L82" s="366" t="s">
        <v>508</v>
      </c>
      <c r="M82" s="692" t="s">
        <v>509</v>
      </c>
      <c r="N82" s="693"/>
      <c r="O82" s="229"/>
      <c r="P82"/>
      <c r="Q82"/>
      <c r="T82"/>
    </row>
    <row r="83" spans="1:20" ht="32.549999999999997" customHeight="1" thickBot="1" x14ac:dyDescent="0.35">
      <c r="A83" s="228"/>
      <c r="B83" s="369" t="s">
        <v>561</v>
      </c>
      <c r="C83" s="239" t="s">
        <v>555</v>
      </c>
      <c r="D83" s="212">
        <v>10</v>
      </c>
      <c r="E83" s="212" t="s">
        <v>511</v>
      </c>
      <c r="F83" s="222" t="s">
        <v>96</v>
      </c>
      <c r="G83" s="222">
        <v>24</v>
      </c>
      <c r="H83" s="370" t="s">
        <v>96</v>
      </c>
      <c r="I83" s="212" t="s">
        <v>96</v>
      </c>
      <c r="J83" s="212" t="s">
        <v>96</v>
      </c>
      <c r="K83" s="222" t="s">
        <v>96</v>
      </c>
      <c r="L83" s="371">
        <f>H94</f>
        <v>0.47794924141280432</v>
      </c>
      <c r="M83" s="681">
        <f>L88</f>
        <v>23.9</v>
      </c>
      <c r="N83" s="682"/>
      <c r="O83" s="229"/>
      <c r="P83"/>
      <c r="Q83"/>
      <c r="T83"/>
    </row>
    <row r="84" spans="1:20" ht="28.5" customHeight="1" x14ac:dyDescent="0.3">
      <c r="A84" s="228"/>
      <c r="B84" s="683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9"/>
      <c r="O84" s="229"/>
      <c r="P84"/>
      <c r="Q84"/>
      <c r="T84"/>
    </row>
    <row r="85" spans="1:20" ht="28.5" customHeight="1" x14ac:dyDescent="0.3">
      <c r="A85" s="228"/>
      <c r="B85" s="47"/>
      <c r="C85" s="673" t="s">
        <v>512</v>
      </c>
      <c r="D85" s="674"/>
      <c r="E85" s="675"/>
      <c r="F85" s="375"/>
      <c r="G85" s="673" t="s">
        <v>513</v>
      </c>
      <c r="H85" s="674"/>
      <c r="I85" s="675"/>
      <c r="J85" s="375"/>
      <c r="K85" s="673" t="s">
        <v>514</v>
      </c>
      <c r="L85" s="674"/>
      <c r="M85" s="675"/>
      <c r="N85" s="376"/>
      <c r="O85" s="229"/>
      <c r="P85"/>
      <c r="Q85"/>
      <c r="T85"/>
    </row>
    <row r="86" spans="1:20" ht="28.5" customHeight="1" x14ac:dyDescent="0.3">
      <c r="A86" s="228"/>
      <c r="B86" s="47"/>
      <c r="C86" s="377"/>
      <c r="D86" s="11"/>
      <c r="E86" s="378"/>
      <c r="F86" s="379"/>
      <c r="G86" s="380"/>
      <c r="H86" s="380"/>
      <c r="I86" s="380"/>
      <c r="J86" s="379"/>
      <c r="K86" s="378"/>
      <c r="L86" s="2"/>
      <c r="M86" s="378"/>
      <c r="N86" s="381"/>
      <c r="O86" s="229"/>
      <c r="P86"/>
      <c r="Q86"/>
      <c r="T86"/>
    </row>
    <row r="87" spans="1:20" ht="28.5" customHeight="1" x14ac:dyDescent="0.3">
      <c r="A87" s="228"/>
      <c r="B87" s="47"/>
      <c r="C87" s="382" t="s">
        <v>515</v>
      </c>
      <c r="D87" s="383">
        <f>D83</f>
        <v>10</v>
      </c>
      <c r="E87" s="2" t="s">
        <v>516</v>
      </c>
      <c r="F87" s="379"/>
      <c r="G87" s="382" t="s">
        <v>517</v>
      </c>
      <c r="H87" s="3">
        <v>7</v>
      </c>
      <c r="I87" s="2" t="s">
        <v>518</v>
      </c>
      <c r="J87" s="379"/>
      <c r="K87" s="21" t="s">
        <v>519</v>
      </c>
      <c r="L87" s="163">
        <f>D95/H97</f>
        <v>69728.399999999994</v>
      </c>
      <c r="M87" s="2" t="s">
        <v>520</v>
      </c>
      <c r="N87" s="381"/>
      <c r="O87" s="229"/>
      <c r="P87"/>
      <c r="Q87"/>
      <c r="T87"/>
    </row>
    <row r="88" spans="1:20" ht="38.549999999999997" customHeight="1" x14ac:dyDescent="0.3">
      <c r="A88" s="228"/>
      <c r="B88" s="47"/>
      <c r="C88" s="382" t="s">
        <v>521</v>
      </c>
      <c r="D88" s="11" t="s">
        <v>96</v>
      </c>
      <c r="E88" s="2" t="s">
        <v>522</v>
      </c>
      <c r="F88" s="379"/>
      <c r="G88" s="382" t="s">
        <v>523</v>
      </c>
      <c r="H88" s="11">
        <f>D90</f>
        <v>0.7</v>
      </c>
      <c r="I88" s="2" t="s">
        <v>524</v>
      </c>
      <c r="J88" s="379"/>
      <c r="K88" s="431" t="s">
        <v>600</v>
      </c>
      <c r="L88" s="385">
        <f>IF(L87/5/1000&lt;23.9,23.9,L87/5/1000)</f>
        <v>23.9</v>
      </c>
      <c r="M88" s="349" t="s">
        <v>525</v>
      </c>
      <c r="N88" s="381"/>
      <c r="O88" s="229"/>
      <c r="P88"/>
      <c r="Q88"/>
      <c r="T88"/>
    </row>
    <row r="89" spans="1:20" ht="28.5" customHeight="1" x14ac:dyDescent="0.3">
      <c r="A89" s="228"/>
      <c r="B89" s="47"/>
      <c r="C89" s="382" t="s">
        <v>526</v>
      </c>
      <c r="D89" s="11">
        <f>xx!J30</f>
        <v>8301</v>
      </c>
      <c r="E89" s="2" t="s">
        <v>527</v>
      </c>
      <c r="F89" s="379"/>
      <c r="G89" s="382" t="s">
        <v>528</v>
      </c>
      <c r="H89" s="11">
        <f>D92</f>
        <v>30</v>
      </c>
      <c r="I89" s="2" t="s">
        <v>518</v>
      </c>
      <c r="J89" s="379"/>
      <c r="K89" s="382" t="s">
        <v>601</v>
      </c>
      <c r="L89" s="11">
        <f>L87/5/1000</f>
        <v>13.945679999999998</v>
      </c>
      <c r="M89" s="380"/>
      <c r="N89" s="381"/>
      <c r="O89" s="229"/>
      <c r="P89"/>
      <c r="Q89"/>
      <c r="T89"/>
    </row>
    <row r="90" spans="1:20" ht="28.5" customHeight="1" x14ac:dyDescent="0.3">
      <c r="A90" s="228"/>
      <c r="B90" s="47"/>
      <c r="C90" s="382" t="s">
        <v>529</v>
      </c>
      <c r="D90" s="11">
        <v>0.7</v>
      </c>
      <c r="E90" s="2" t="s">
        <v>524</v>
      </c>
      <c r="F90" s="379"/>
      <c r="G90" s="382" t="s">
        <v>530</v>
      </c>
      <c r="H90" s="11">
        <f>D93</f>
        <v>24</v>
      </c>
      <c r="I90" s="2" t="s">
        <v>518</v>
      </c>
      <c r="J90" s="379"/>
      <c r="K90" s="686"/>
      <c r="L90" s="687"/>
      <c r="M90" s="688"/>
      <c r="N90" s="381"/>
      <c r="O90" s="229"/>
      <c r="P90"/>
      <c r="Q90"/>
      <c r="T90"/>
    </row>
    <row r="91" spans="1:20" ht="28.5" customHeight="1" x14ac:dyDescent="0.3">
      <c r="A91" s="228"/>
      <c r="B91" s="47"/>
      <c r="C91" s="382" t="s">
        <v>531</v>
      </c>
      <c r="D91" s="383" t="s">
        <v>96</v>
      </c>
      <c r="E91" s="2" t="s">
        <v>532</v>
      </c>
      <c r="F91" s="379"/>
      <c r="G91" s="382" t="s">
        <v>533</v>
      </c>
      <c r="H91" s="2">
        <f>D94</f>
        <v>21</v>
      </c>
      <c r="I91" s="2" t="s">
        <v>534</v>
      </c>
      <c r="J91" s="379"/>
      <c r="K91" s="689"/>
      <c r="L91" s="690"/>
      <c r="M91" s="691"/>
      <c r="N91" s="381"/>
      <c r="O91" s="229"/>
      <c r="P91"/>
      <c r="Q91"/>
      <c r="T91"/>
    </row>
    <row r="92" spans="1:20" ht="28.5" customHeight="1" x14ac:dyDescent="0.3">
      <c r="A92" s="228"/>
      <c r="B92" s="47"/>
      <c r="C92" s="382" t="s">
        <v>535</v>
      </c>
      <c r="D92" s="11">
        <v>30</v>
      </c>
      <c r="E92" s="2" t="s">
        <v>518</v>
      </c>
      <c r="F92" s="379"/>
      <c r="G92" s="382" t="s">
        <v>536</v>
      </c>
      <c r="H92" s="2">
        <v>175</v>
      </c>
      <c r="I92" s="21" t="s">
        <v>537</v>
      </c>
      <c r="J92" s="379"/>
      <c r="K92" s="379"/>
      <c r="L92" s="375"/>
      <c r="M92" s="379"/>
      <c r="N92" s="381"/>
      <c r="O92" s="229"/>
      <c r="P92"/>
      <c r="Q92"/>
      <c r="T92"/>
    </row>
    <row r="93" spans="1:20" ht="28.5" customHeight="1" x14ac:dyDescent="0.3">
      <c r="A93" s="228"/>
      <c r="B93" s="47"/>
      <c r="C93" s="382" t="s">
        <v>538</v>
      </c>
      <c r="D93" s="11">
        <f>G83</f>
        <v>24</v>
      </c>
      <c r="E93" s="2" t="s">
        <v>518</v>
      </c>
      <c r="F93" s="379"/>
      <c r="G93" s="2"/>
      <c r="H93" s="21"/>
      <c r="I93" s="21"/>
      <c r="J93" s="379"/>
      <c r="K93" s="379"/>
      <c r="L93" s="375"/>
      <c r="M93" s="379"/>
      <c r="N93" s="381"/>
      <c r="O93" s="229"/>
      <c r="P93"/>
      <c r="Q93"/>
      <c r="T93"/>
    </row>
    <row r="94" spans="1:20" ht="28.5" customHeight="1" x14ac:dyDescent="0.3">
      <c r="A94" s="228"/>
      <c r="B94" s="47"/>
      <c r="C94" s="382" t="s">
        <v>539</v>
      </c>
      <c r="D94" s="2">
        <v>21</v>
      </c>
      <c r="E94" s="378" t="s">
        <v>534</v>
      </c>
      <c r="F94" s="379"/>
      <c r="G94" s="389" t="s">
        <v>540</v>
      </c>
      <c r="H94" s="390">
        <f>((D89*D90)/(H91*H92))*(LN((H89-H87)/(H90-H87)))</f>
        <v>0.47794924141280432</v>
      </c>
      <c r="I94" s="389" t="s">
        <v>541</v>
      </c>
      <c r="J94" s="379"/>
      <c r="K94" s="388"/>
      <c r="L94" s="391"/>
      <c r="M94" s="388"/>
      <c r="N94" s="381"/>
      <c r="O94" s="229"/>
      <c r="P94"/>
      <c r="Q94"/>
      <c r="T94"/>
    </row>
    <row r="95" spans="1:20" ht="28.5" customHeight="1" x14ac:dyDescent="0.3">
      <c r="A95" s="228"/>
      <c r="B95" s="47"/>
      <c r="C95" s="392" t="s">
        <v>542</v>
      </c>
      <c r="D95" s="393">
        <f>D89*D90*(D92-D93)</f>
        <v>34864.199999999997</v>
      </c>
      <c r="E95" s="389" t="s">
        <v>543</v>
      </c>
      <c r="F95" s="379"/>
      <c r="G95" s="670" t="s">
        <v>544</v>
      </c>
      <c r="H95" s="671"/>
      <c r="I95" s="672"/>
      <c r="J95" s="379"/>
      <c r="K95" s="388"/>
      <c r="L95" s="397"/>
      <c r="M95" s="388"/>
      <c r="N95" s="381"/>
      <c r="O95" s="229"/>
      <c r="P95"/>
      <c r="Q95"/>
      <c r="T95"/>
    </row>
    <row r="96" spans="1:20" ht="28.5" customHeight="1" x14ac:dyDescent="0.3">
      <c r="A96" s="228"/>
      <c r="B96" s="47"/>
      <c r="C96" s="379"/>
      <c r="D96" s="375"/>
      <c r="E96" s="379"/>
      <c r="F96" s="379"/>
      <c r="G96" s="398" t="s">
        <v>545</v>
      </c>
      <c r="H96" s="399">
        <v>30</v>
      </c>
      <c r="I96" s="400" t="s">
        <v>546</v>
      </c>
      <c r="J96" s="379"/>
      <c r="K96" s="388"/>
      <c r="L96" s="401"/>
      <c r="M96" s="401"/>
      <c r="N96" s="381"/>
      <c r="O96" s="229"/>
      <c r="P96"/>
      <c r="Q96"/>
      <c r="T96"/>
    </row>
    <row r="97" spans="1:20" ht="28.5" customHeight="1" x14ac:dyDescent="0.3">
      <c r="A97" s="228"/>
      <c r="B97" s="47"/>
      <c r="C97" s="379"/>
      <c r="D97" s="375"/>
      <c r="E97" s="379"/>
      <c r="F97" s="379"/>
      <c r="G97" s="398" t="s">
        <v>545</v>
      </c>
      <c r="H97" s="404">
        <f>H96/60</f>
        <v>0.5</v>
      </c>
      <c r="I97" s="400" t="s">
        <v>541</v>
      </c>
      <c r="J97" s="379"/>
      <c r="K97" s="388"/>
      <c r="L97" s="401"/>
      <c r="M97" s="401"/>
      <c r="N97" s="381"/>
      <c r="O97" s="229"/>
      <c r="P97"/>
      <c r="Q97"/>
      <c r="T97"/>
    </row>
    <row r="98" spans="1:20" ht="28.5" customHeight="1" thickBot="1" x14ac:dyDescent="0.35">
      <c r="A98" s="228"/>
      <c r="B98" s="402"/>
      <c r="C98" s="403"/>
      <c r="D98" s="403"/>
      <c r="E98" s="403"/>
      <c r="F98" s="403"/>
      <c r="G98" s="403"/>
      <c r="H98" s="403"/>
      <c r="I98" s="403"/>
      <c r="J98" s="403"/>
      <c r="K98" s="403"/>
      <c r="L98" s="405"/>
      <c r="M98" s="403"/>
      <c r="N98" s="406"/>
      <c r="O98" s="229"/>
      <c r="P98"/>
      <c r="Q98"/>
      <c r="T98"/>
    </row>
    <row r="99" spans="1:20" ht="52.5" customHeight="1" x14ac:dyDescent="0.3">
      <c r="A99" s="228"/>
      <c r="B99" s="365" t="s">
        <v>498</v>
      </c>
      <c r="C99" s="366" t="s">
        <v>499</v>
      </c>
      <c r="D99" s="366" t="s">
        <v>500</v>
      </c>
      <c r="E99" s="366" t="s">
        <v>501</v>
      </c>
      <c r="F99" s="366" t="s">
        <v>502</v>
      </c>
      <c r="G99" s="366" t="s">
        <v>503</v>
      </c>
      <c r="H99" s="366" t="s">
        <v>504</v>
      </c>
      <c r="I99" s="366" t="s">
        <v>505</v>
      </c>
      <c r="J99" s="366" t="s">
        <v>506</v>
      </c>
      <c r="K99" s="366" t="s">
        <v>507</v>
      </c>
      <c r="L99" s="366" t="s">
        <v>562</v>
      </c>
      <c r="M99" s="679" t="s">
        <v>563</v>
      </c>
      <c r="N99" s="680"/>
      <c r="O99" s="229"/>
      <c r="P99"/>
      <c r="Q99"/>
      <c r="T99"/>
    </row>
    <row r="100" spans="1:20" ht="34.5" customHeight="1" thickBot="1" x14ac:dyDescent="0.35">
      <c r="A100" s="228"/>
      <c r="B100" s="369">
        <v>9</v>
      </c>
      <c r="C100" s="239" t="s">
        <v>555</v>
      </c>
      <c r="D100" s="212">
        <v>10</v>
      </c>
      <c r="E100" s="212" t="s">
        <v>511</v>
      </c>
      <c r="F100" s="222" t="s">
        <v>96</v>
      </c>
      <c r="G100" s="222">
        <v>40</v>
      </c>
      <c r="H100" s="370" t="s">
        <v>96</v>
      </c>
      <c r="I100" s="212" t="s">
        <v>96</v>
      </c>
      <c r="J100" s="212" t="s">
        <v>96</v>
      </c>
      <c r="K100" s="222" t="s">
        <v>96</v>
      </c>
      <c r="L100" s="371">
        <f>H105</f>
        <v>1</v>
      </c>
      <c r="M100" s="681">
        <f>L105</f>
        <v>182.29647058823528</v>
      </c>
      <c r="N100" s="682"/>
      <c r="O100" s="229"/>
      <c r="P100"/>
      <c r="Q100"/>
      <c r="T100"/>
    </row>
    <row r="101" spans="1:20" ht="28.5" customHeight="1" x14ac:dyDescent="0.3">
      <c r="A101" s="228"/>
      <c r="B101" s="683"/>
      <c r="C101" s="628"/>
      <c r="D101" s="628"/>
      <c r="E101" s="628"/>
      <c r="F101" s="628"/>
      <c r="G101" s="628"/>
      <c r="H101" s="628"/>
      <c r="I101" s="628"/>
      <c r="J101" s="628"/>
      <c r="K101" s="628"/>
      <c r="L101" s="628"/>
      <c r="M101" s="628"/>
      <c r="N101" s="629"/>
      <c r="O101" s="229"/>
      <c r="P101"/>
      <c r="Q101"/>
      <c r="T101"/>
    </row>
    <row r="102" spans="1:20" ht="28.5" customHeight="1" x14ac:dyDescent="0.3">
      <c r="A102" s="228"/>
      <c r="B102" s="47"/>
      <c r="C102" s="673" t="s">
        <v>564</v>
      </c>
      <c r="D102" s="674"/>
      <c r="E102" s="675"/>
      <c r="F102" s="375"/>
      <c r="G102" s="673" t="s">
        <v>565</v>
      </c>
      <c r="H102" s="674"/>
      <c r="I102" s="675"/>
      <c r="J102" s="375"/>
      <c r="K102" s="673" t="s">
        <v>566</v>
      </c>
      <c r="L102" s="674"/>
      <c r="M102" s="675"/>
      <c r="N102" s="376"/>
      <c r="O102" s="229"/>
      <c r="P102"/>
      <c r="Q102"/>
      <c r="T102"/>
    </row>
    <row r="103" spans="1:20" ht="28.5" customHeight="1" x14ac:dyDescent="0.3">
      <c r="A103" s="228"/>
      <c r="B103" s="47"/>
      <c r="C103" s="438"/>
      <c r="D103" s="439"/>
      <c r="E103" s="440"/>
      <c r="F103" s="420"/>
      <c r="G103" s="441" t="s">
        <v>567</v>
      </c>
      <c r="H103" s="420"/>
      <c r="I103" s="442"/>
      <c r="J103" s="420"/>
      <c r="K103" s="443"/>
      <c r="L103" s="420"/>
      <c r="M103" s="444"/>
      <c r="N103" s="376"/>
      <c r="O103" s="229"/>
      <c r="P103"/>
      <c r="Q103"/>
      <c r="T103"/>
    </row>
    <row r="104" spans="1:20" ht="28.5" customHeight="1" x14ac:dyDescent="0.3">
      <c r="A104" s="228"/>
      <c r="B104" s="47"/>
      <c r="C104" s="382" t="s">
        <v>515</v>
      </c>
      <c r="D104" s="11">
        <f>D100</f>
        <v>10</v>
      </c>
      <c r="E104" s="2" t="s">
        <v>516</v>
      </c>
      <c r="F104" s="420"/>
      <c r="G104" s="382" t="s">
        <v>568</v>
      </c>
      <c r="H104" s="3">
        <v>60</v>
      </c>
      <c r="I104" s="2" t="s">
        <v>546</v>
      </c>
      <c r="J104" s="420"/>
      <c r="K104" s="21" t="s">
        <v>519</v>
      </c>
      <c r="L104" s="445">
        <f>D113/H105</f>
        <v>92971.199999999997</v>
      </c>
      <c r="M104" s="2" t="s">
        <v>520</v>
      </c>
      <c r="N104" s="376"/>
      <c r="O104" s="229"/>
      <c r="P104"/>
      <c r="Q104"/>
      <c r="T104"/>
    </row>
    <row r="105" spans="1:20" ht="28.5" customHeight="1" x14ac:dyDescent="0.3">
      <c r="A105" s="228"/>
      <c r="B105" s="47"/>
      <c r="C105" s="382" t="s">
        <v>521</v>
      </c>
      <c r="D105" s="11" t="s">
        <v>96</v>
      </c>
      <c r="E105" s="2" t="s">
        <v>522</v>
      </c>
      <c r="F105" s="420"/>
      <c r="G105" s="446" t="s">
        <v>568</v>
      </c>
      <c r="H105" s="25">
        <f>H104/60</f>
        <v>1</v>
      </c>
      <c r="I105" s="22" t="s">
        <v>541</v>
      </c>
      <c r="J105" s="420"/>
      <c r="K105" s="431" t="s">
        <v>569</v>
      </c>
      <c r="L105" s="432">
        <f>L104/D112</f>
        <v>182.29647058823528</v>
      </c>
      <c r="M105" s="349" t="s">
        <v>570</v>
      </c>
      <c r="N105" s="376"/>
      <c r="O105" s="229"/>
      <c r="P105"/>
      <c r="Q105"/>
      <c r="T105"/>
    </row>
    <row r="106" spans="1:20" ht="28.5" customHeight="1" x14ac:dyDescent="0.3">
      <c r="A106" s="228"/>
      <c r="B106" s="47"/>
      <c r="C106" s="382" t="s">
        <v>526</v>
      </c>
      <c r="D106" s="3">
        <f>xx!J31</f>
        <v>8301</v>
      </c>
      <c r="E106" s="2" t="s">
        <v>527</v>
      </c>
      <c r="F106" s="420"/>
      <c r="G106" s="447"/>
      <c r="H106" s="448"/>
      <c r="I106" s="439"/>
      <c r="J106" s="420"/>
      <c r="K106" s="420"/>
      <c r="L106" s="449"/>
      <c r="M106" s="420"/>
      <c r="N106" s="376"/>
      <c r="O106" s="229"/>
      <c r="P106"/>
      <c r="Q106"/>
      <c r="T106"/>
    </row>
    <row r="107" spans="1:20" ht="28.5" customHeight="1" x14ac:dyDescent="0.3">
      <c r="A107" s="228"/>
      <c r="B107" s="47"/>
      <c r="C107" s="382" t="s">
        <v>529</v>
      </c>
      <c r="D107" s="11">
        <v>0.7</v>
      </c>
      <c r="E107" s="2" t="s">
        <v>524</v>
      </c>
      <c r="F107" s="420"/>
      <c r="G107" s="397"/>
      <c r="H107" s="449"/>
      <c r="I107" s="375"/>
      <c r="J107" s="420"/>
      <c r="K107" s="420"/>
      <c r="L107" s="449"/>
      <c r="M107" s="420"/>
      <c r="N107" s="376"/>
      <c r="O107" s="229"/>
      <c r="P107"/>
      <c r="Q107"/>
      <c r="T107"/>
    </row>
    <row r="108" spans="1:20" ht="28.5" customHeight="1" x14ac:dyDescent="0.3">
      <c r="A108" s="228"/>
      <c r="B108" s="47"/>
      <c r="C108" s="382" t="s">
        <v>531</v>
      </c>
      <c r="D108" s="383" t="s">
        <v>96</v>
      </c>
      <c r="E108" s="2" t="s">
        <v>532</v>
      </c>
      <c r="F108" s="420"/>
      <c r="G108" s="397"/>
      <c r="H108" s="375"/>
      <c r="I108" s="375"/>
      <c r="J108" s="420"/>
      <c r="K108" s="420"/>
      <c r="L108" s="375"/>
      <c r="M108" s="420"/>
      <c r="N108" s="376"/>
      <c r="O108" s="229"/>
      <c r="P108"/>
      <c r="Q108"/>
      <c r="T108"/>
    </row>
    <row r="109" spans="1:20" ht="28.5" customHeight="1" x14ac:dyDescent="0.3">
      <c r="A109" s="228"/>
      <c r="B109" s="47"/>
      <c r="C109" s="382" t="s">
        <v>535</v>
      </c>
      <c r="D109" s="11">
        <v>24</v>
      </c>
      <c r="E109" s="2" t="s">
        <v>518</v>
      </c>
      <c r="F109" s="420"/>
      <c r="G109" s="397"/>
      <c r="H109" s="375"/>
      <c r="I109" s="420"/>
      <c r="J109" s="420"/>
      <c r="K109" s="420"/>
      <c r="L109" s="420"/>
      <c r="M109" s="420"/>
      <c r="N109" s="376"/>
      <c r="O109" s="229"/>
      <c r="P109"/>
      <c r="Q109"/>
      <c r="T109"/>
    </row>
    <row r="110" spans="1:20" ht="28.5" customHeight="1" x14ac:dyDescent="0.3">
      <c r="A110" s="228"/>
      <c r="B110" s="47"/>
      <c r="C110" s="382" t="s">
        <v>538</v>
      </c>
      <c r="D110" s="11">
        <f>G100</f>
        <v>40</v>
      </c>
      <c r="E110" s="2" t="s">
        <v>518</v>
      </c>
      <c r="F110" s="420"/>
      <c r="G110" s="375"/>
      <c r="H110" s="420"/>
      <c r="I110" s="420"/>
      <c r="J110" s="420"/>
      <c r="K110" s="420"/>
      <c r="L110" s="420"/>
      <c r="M110" s="420"/>
      <c r="N110" s="376"/>
      <c r="O110" s="229"/>
      <c r="P110"/>
      <c r="Q110"/>
      <c r="T110"/>
    </row>
    <row r="111" spans="1:20" ht="28.5" customHeight="1" x14ac:dyDescent="0.3">
      <c r="A111" s="228"/>
      <c r="B111" s="47"/>
      <c r="C111" s="382" t="s">
        <v>539</v>
      </c>
      <c r="D111" s="2">
        <v>21</v>
      </c>
      <c r="E111" s="2" t="s">
        <v>534</v>
      </c>
      <c r="F111" s="420"/>
      <c r="G111" s="411"/>
      <c r="H111" s="450"/>
      <c r="I111" s="411"/>
      <c r="J111" s="420"/>
      <c r="K111" s="420"/>
      <c r="L111" s="420"/>
      <c r="M111" s="420"/>
      <c r="N111" s="376"/>
      <c r="O111" s="229"/>
      <c r="P111"/>
      <c r="Q111"/>
      <c r="T111"/>
    </row>
    <row r="112" spans="1:20" ht="28.5" customHeight="1" x14ac:dyDescent="0.3">
      <c r="A112" s="228"/>
      <c r="B112" s="47"/>
      <c r="C112" s="382" t="s">
        <v>571</v>
      </c>
      <c r="D112" s="11">
        <v>510</v>
      </c>
      <c r="E112" s="2" t="s">
        <v>572</v>
      </c>
      <c r="F112" s="420"/>
      <c r="G112" s="451"/>
      <c r="H112" s="451"/>
      <c r="I112" s="451"/>
      <c r="J112" s="420"/>
      <c r="K112" s="420"/>
      <c r="L112" s="420"/>
      <c r="M112" s="420"/>
      <c r="N112" s="376"/>
      <c r="O112" s="229"/>
      <c r="P112"/>
      <c r="Q112"/>
      <c r="T112"/>
    </row>
    <row r="113" spans="1:20" ht="28.5" customHeight="1" x14ac:dyDescent="0.3">
      <c r="A113" s="228"/>
      <c r="B113" s="47"/>
      <c r="C113" s="392" t="s">
        <v>573</v>
      </c>
      <c r="D113" s="393">
        <f>((D106*D107*(D110-D109)))</f>
        <v>92971.199999999997</v>
      </c>
      <c r="E113" s="389" t="s">
        <v>543</v>
      </c>
      <c r="F113" s="420"/>
      <c r="G113" s="422"/>
      <c r="H113" s="452"/>
      <c r="I113" s="424"/>
      <c r="J113" s="420"/>
      <c r="K113" s="420"/>
      <c r="L113" s="420"/>
      <c r="M113" s="420"/>
      <c r="N113" s="376"/>
      <c r="O113" s="229"/>
      <c r="P113"/>
      <c r="Q113"/>
      <c r="T113"/>
    </row>
    <row r="114" spans="1:20" ht="28.5" customHeight="1" x14ac:dyDescent="0.3">
      <c r="A114" s="228"/>
      <c r="B114" s="47"/>
      <c r="C114" s="409"/>
      <c r="D114" s="421"/>
      <c r="E114" s="411"/>
      <c r="F114" s="420"/>
      <c r="G114" s="422"/>
      <c r="H114" s="423"/>
      <c r="I114" s="424"/>
      <c r="J114" s="420"/>
      <c r="K114" s="420"/>
      <c r="L114" s="420"/>
      <c r="M114" s="420"/>
      <c r="N114" s="376"/>
      <c r="O114" s="229"/>
      <c r="P114"/>
      <c r="Q114"/>
      <c r="T114"/>
    </row>
    <row r="115" spans="1:20" ht="28.5" customHeight="1" thickBot="1" x14ac:dyDescent="0.35">
      <c r="A115" s="228"/>
      <c r="B115" s="402"/>
      <c r="C115" s="425"/>
      <c r="D115" s="426"/>
      <c r="E115" s="427"/>
      <c r="F115" s="403"/>
      <c r="G115" s="220"/>
      <c r="H115" s="220"/>
      <c r="I115" s="220"/>
      <c r="J115" s="403"/>
      <c r="K115" s="403"/>
      <c r="L115" s="403"/>
      <c r="M115" s="403"/>
      <c r="N115" s="406"/>
      <c r="O115" s="229"/>
      <c r="P115"/>
      <c r="Q115"/>
      <c r="T115"/>
    </row>
    <row r="116" spans="1:20" ht="57.6" customHeight="1" x14ac:dyDescent="0.3">
      <c r="A116" s="228"/>
      <c r="B116" s="365" t="s">
        <v>498</v>
      </c>
      <c r="C116" s="366" t="s">
        <v>499</v>
      </c>
      <c r="D116" s="366" t="s">
        <v>500</v>
      </c>
      <c r="E116" s="366" t="s">
        <v>501</v>
      </c>
      <c r="F116" s="366" t="s">
        <v>502</v>
      </c>
      <c r="G116" s="366" t="s">
        <v>503</v>
      </c>
      <c r="H116" s="366" t="s">
        <v>504</v>
      </c>
      <c r="I116" s="366" t="s">
        <v>505</v>
      </c>
      <c r="J116" s="366" t="s">
        <v>506</v>
      </c>
      <c r="K116" s="366" t="s">
        <v>507</v>
      </c>
      <c r="L116" s="366" t="s">
        <v>562</v>
      </c>
      <c r="M116" s="679" t="s">
        <v>563</v>
      </c>
      <c r="N116" s="680"/>
      <c r="O116" s="229"/>
      <c r="P116"/>
      <c r="Q116"/>
      <c r="T116"/>
    </row>
    <row r="117" spans="1:20" ht="28.5" customHeight="1" thickBot="1" x14ac:dyDescent="0.35">
      <c r="A117" s="228"/>
      <c r="B117" s="369">
        <v>11</v>
      </c>
      <c r="C117" s="239" t="s">
        <v>555</v>
      </c>
      <c r="D117" s="212">
        <v>10</v>
      </c>
      <c r="E117" s="212" t="s">
        <v>511</v>
      </c>
      <c r="F117" s="222" t="s">
        <v>96</v>
      </c>
      <c r="G117" s="222">
        <v>40</v>
      </c>
      <c r="H117" s="370" t="s">
        <v>96</v>
      </c>
      <c r="I117" s="212" t="s">
        <v>96</v>
      </c>
      <c r="J117" s="212" t="s">
        <v>96</v>
      </c>
      <c r="K117" s="453" t="e">
        <f>#REF!/#REF!</f>
        <v>#REF!</v>
      </c>
      <c r="L117" s="371">
        <f>H122</f>
        <v>0.33333333333333331</v>
      </c>
      <c r="M117" s="710">
        <f>L122</f>
        <v>20.588235294117649</v>
      </c>
      <c r="N117" s="711"/>
      <c r="O117" s="229"/>
      <c r="P117"/>
      <c r="Q117"/>
      <c r="T117"/>
    </row>
    <row r="118" spans="1:20" ht="28.5" customHeight="1" x14ac:dyDescent="0.3">
      <c r="A118" s="228"/>
      <c r="B118" s="683"/>
      <c r="C118" s="628"/>
      <c r="D118" s="628"/>
      <c r="E118" s="628"/>
      <c r="F118" s="628"/>
      <c r="G118" s="628"/>
      <c r="H118" s="628"/>
      <c r="I118" s="628"/>
      <c r="J118" s="628"/>
      <c r="K118" s="628"/>
      <c r="L118" s="628"/>
      <c r="M118" s="628"/>
      <c r="N118" s="629"/>
      <c r="O118" s="229"/>
      <c r="P118"/>
      <c r="Q118"/>
      <c r="T118"/>
    </row>
    <row r="119" spans="1:20" ht="28.5" customHeight="1" x14ac:dyDescent="0.3">
      <c r="A119" s="228"/>
      <c r="B119" s="47"/>
      <c r="C119" s="673" t="s">
        <v>564</v>
      </c>
      <c r="D119" s="674"/>
      <c r="E119" s="675"/>
      <c r="F119" s="375"/>
      <c r="G119" s="673" t="s">
        <v>565</v>
      </c>
      <c r="H119" s="674"/>
      <c r="I119" s="675"/>
      <c r="J119" s="375"/>
      <c r="K119" s="712" t="s">
        <v>566</v>
      </c>
      <c r="L119" s="712"/>
      <c r="M119" s="712"/>
      <c r="N119" s="376"/>
      <c r="O119" s="229"/>
      <c r="P119"/>
      <c r="Q119"/>
      <c r="T119"/>
    </row>
    <row r="120" spans="1:20" ht="28.5" customHeight="1" x14ac:dyDescent="0.3">
      <c r="A120" s="228"/>
      <c r="B120" s="47"/>
      <c r="C120" s="438"/>
      <c r="D120" s="439"/>
      <c r="E120" s="440"/>
      <c r="F120" s="379"/>
      <c r="G120" s="441" t="s">
        <v>567</v>
      </c>
      <c r="H120" s="420"/>
      <c r="I120" s="442"/>
      <c r="J120" s="379"/>
      <c r="K120" s="2"/>
      <c r="L120" s="21"/>
      <c r="M120" s="2"/>
      <c r="N120" s="381"/>
      <c r="O120" s="229"/>
      <c r="P120"/>
      <c r="Q120"/>
      <c r="T120"/>
    </row>
    <row r="121" spans="1:20" ht="28.5" customHeight="1" x14ac:dyDescent="0.3">
      <c r="A121" s="228"/>
      <c r="B121" s="47"/>
      <c r="C121" s="382" t="s">
        <v>515</v>
      </c>
      <c r="D121" s="11">
        <f>D117</f>
        <v>10</v>
      </c>
      <c r="E121" s="2" t="s">
        <v>516</v>
      </c>
      <c r="F121" s="379"/>
      <c r="G121" s="382" t="s">
        <v>568</v>
      </c>
      <c r="H121" s="3">
        <v>20</v>
      </c>
      <c r="I121" s="2" t="s">
        <v>546</v>
      </c>
      <c r="J121" s="379"/>
      <c r="K121" s="21" t="s">
        <v>519</v>
      </c>
      <c r="L121" s="445">
        <f>D130/H122</f>
        <v>10500</v>
      </c>
      <c r="M121" s="2" t="s">
        <v>520</v>
      </c>
      <c r="N121" s="381"/>
      <c r="O121" s="229"/>
      <c r="P121"/>
      <c r="Q121"/>
      <c r="T121"/>
    </row>
    <row r="122" spans="1:20" ht="34.5" customHeight="1" x14ac:dyDescent="0.3">
      <c r="A122" s="228"/>
      <c r="B122" s="47"/>
      <c r="C122" s="382" t="s">
        <v>521</v>
      </c>
      <c r="D122" s="11" t="s">
        <v>96</v>
      </c>
      <c r="E122" s="2" t="s">
        <v>522</v>
      </c>
      <c r="F122" s="379"/>
      <c r="G122" s="446" t="s">
        <v>568</v>
      </c>
      <c r="H122" s="25">
        <f>H121/60</f>
        <v>0.33333333333333331</v>
      </c>
      <c r="I122" s="22" t="s">
        <v>541</v>
      </c>
      <c r="J122" s="379"/>
      <c r="K122" s="431" t="s">
        <v>569</v>
      </c>
      <c r="L122" s="432">
        <f>L121/D129</f>
        <v>20.588235294117649</v>
      </c>
      <c r="M122" s="349" t="s">
        <v>570</v>
      </c>
      <c r="N122" s="381"/>
      <c r="O122" s="229"/>
      <c r="P122"/>
      <c r="Q122"/>
      <c r="T122"/>
    </row>
    <row r="123" spans="1:20" ht="28.5" customHeight="1" x14ac:dyDescent="0.3">
      <c r="A123" s="228"/>
      <c r="B123" s="47"/>
      <c r="C123" s="382" t="s">
        <v>526</v>
      </c>
      <c r="D123" s="3">
        <f>xx!H33</f>
        <v>500</v>
      </c>
      <c r="E123" s="2" t="s">
        <v>527</v>
      </c>
      <c r="F123" s="379"/>
      <c r="G123" s="447"/>
      <c r="H123" s="448"/>
      <c r="I123" s="439"/>
      <c r="J123" s="379"/>
      <c r="K123" s="388"/>
      <c r="L123" s="454"/>
      <c r="M123" s="388"/>
      <c r="N123" s="381"/>
      <c r="O123" s="229"/>
      <c r="P123"/>
      <c r="Q123"/>
      <c r="T123"/>
    </row>
    <row r="124" spans="1:20" ht="28.5" customHeight="1" x14ac:dyDescent="0.3">
      <c r="A124" s="228"/>
      <c r="B124" s="47"/>
      <c r="C124" s="382" t="s">
        <v>529</v>
      </c>
      <c r="D124" s="11">
        <v>0.7</v>
      </c>
      <c r="E124" s="2" t="s">
        <v>524</v>
      </c>
      <c r="F124" s="379"/>
      <c r="G124" s="397"/>
      <c r="H124" s="449"/>
      <c r="I124" s="375"/>
      <c r="J124" s="379"/>
      <c r="K124" s="455"/>
      <c r="L124" s="455"/>
      <c r="M124" s="455"/>
      <c r="N124" s="381"/>
      <c r="O124" s="229"/>
      <c r="P124"/>
      <c r="Q124"/>
      <c r="T124"/>
    </row>
    <row r="125" spans="1:20" ht="28.5" customHeight="1" x14ac:dyDescent="0.3">
      <c r="A125" s="228"/>
      <c r="B125" s="47"/>
      <c r="C125" s="382" t="s">
        <v>531</v>
      </c>
      <c r="D125" s="383" t="s">
        <v>96</v>
      </c>
      <c r="E125" s="2" t="s">
        <v>532</v>
      </c>
      <c r="F125" s="379"/>
      <c r="G125" s="397"/>
      <c r="H125" s="375"/>
      <c r="I125" s="375"/>
      <c r="J125" s="379"/>
      <c r="K125" s="455"/>
      <c r="L125" s="455"/>
      <c r="M125" s="455"/>
      <c r="N125" s="381"/>
      <c r="O125" s="229"/>
      <c r="P125"/>
      <c r="Q125"/>
      <c r="T125"/>
    </row>
    <row r="126" spans="1:20" ht="28.5" customHeight="1" x14ac:dyDescent="0.3">
      <c r="A126" s="228"/>
      <c r="B126" s="47"/>
      <c r="C126" s="382" t="s">
        <v>535</v>
      </c>
      <c r="D126" s="11">
        <v>30</v>
      </c>
      <c r="E126" s="2" t="s">
        <v>518</v>
      </c>
      <c r="F126" s="379"/>
      <c r="G126" s="397"/>
      <c r="H126" s="375"/>
      <c r="I126" s="420"/>
      <c r="J126" s="379"/>
      <c r="K126" s="379"/>
      <c r="L126" s="375"/>
      <c r="M126" s="379"/>
      <c r="N126" s="381"/>
      <c r="O126" s="229"/>
      <c r="P126"/>
      <c r="Q126"/>
      <c r="T126"/>
    </row>
    <row r="127" spans="1:20" ht="28.5" customHeight="1" x14ac:dyDescent="0.3">
      <c r="A127" s="228"/>
      <c r="B127" s="47"/>
      <c r="C127" s="382" t="s">
        <v>538</v>
      </c>
      <c r="D127" s="11">
        <v>40</v>
      </c>
      <c r="E127" s="2" t="s">
        <v>518</v>
      </c>
      <c r="F127" s="379"/>
      <c r="G127" s="375"/>
      <c r="H127" s="420"/>
      <c r="I127" s="420"/>
      <c r="J127" s="379"/>
      <c r="K127" s="379"/>
      <c r="L127" s="375"/>
      <c r="M127" s="379"/>
      <c r="N127" s="381"/>
      <c r="O127" s="229"/>
      <c r="P127"/>
      <c r="Q127"/>
      <c r="T127"/>
    </row>
    <row r="128" spans="1:20" ht="28.5" customHeight="1" x14ac:dyDescent="0.3">
      <c r="A128" s="228"/>
      <c r="B128" s="47"/>
      <c r="C128" s="382" t="s">
        <v>539</v>
      </c>
      <c r="D128" s="2">
        <v>21</v>
      </c>
      <c r="E128" s="2" t="s">
        <v>534</v>
      </c>
      <c r="F128" s="379"/>
      <c r="G128" s="411"/>
      <c r="H128" s="450"/>
      <c r="I128" s="411"/>
      <c r="J128" s="379"/>
      <c r="K128" s="388"/>
      <c r="L128" s="391"/>
      <c r="M128" s="388"/>
      <c r="N128" s="381"/>
      <c r="O128" s="229"/>
      <c r="P128"/>
      <c r="Q128"/>
      <c r="T128"/>
    </row>
    <row r="129" spans="1:20" ht="28.5" customHeight="1" x14ac:dyDescent="0.3">
      <c r="A129" s="228"/>
      <c r="B129" s="47"/>
      <c r="C129" s="382" t="s">
        <v>571</v>
      </c>
      <c r="D129" s="11">
        <v>510</v>
      </c>
      <c r="E129" s="2" t="s">
        <v>572</v>
      </c>
      <c r="F129" s="379"/>
      <c r="G129"/>
      <c r="H129"/>
      <c r="I129"/>
      <c r="J129" s="379"/>
      <c r="K129" s="388"/>
      <c r="L129" s="397"/>
      <c r="M129" s="388"/>
      <c r="N129" s="381"/>
      <c r="O129" s="229"/>
      <c r="P129"/>
      <c r="Q129"/>
      <c r="T129"/>
    </row>
    <row r="130" spans="1:20" ht="28.5" customHeight="1" x14ac:dyDescent="0.3">
      <c r="A130" s="228"/>
      <c r="B130" s="47"/>
      <c r="C130" s="392" t="s">
        <v>573</v>
      </c>
      <c r="D130" s="393">
        <f>((D123*D124*(D127-D126)))</f>
        <v>3500</v>
      </c>
      <c r="E130" s="389" t="s">
        <v>543</v>
      </c>
      <c r="F130" s="379"/>
      <c r="G130"/>
      <c r="H130"/>
      <c r="I130"/>
      <c r="J130" s="379"/>
      <c r="K130" s="388"/>
      <c r="L130" s="401"/>
      <c r="M130" s="401"/>
      <c r="N130" s="381"/>
      <c r="O130" s="229"/>
      <c r="P130"/>
      <c r="Q130"/>
      <c r="T130"/>
    </row>
    <row r="131" spans="1:20" ht="28.5" customHeight="1" thickBot="1" x14ac:dyDescent="0.35">
      <c r="A131" s="228"/>
      <c r="B131" s="402"/>
      <c r="C131" s="403"/>
      <c r="D131" s="403"/>
      <c r="E131" s="403"/>
      <c r="F131" s="403"/>
      <c r="G131" s="403"/>
      <c r="H131" s="403"/>
      <c r="I131" s="403"/>
      <c r="J131" s="403"/>
      <c r="K131" s="403"/>
      <c r="L131" s="405"/>
      <c r="M131" s="403"/>
      <c r="N131" s="406"/>
      <c r="O131" s="229"/>
      <c r="P131"/>
      <c r="Q131"/>
      <c r="T131"/>
    </row>
    <row r="132" spans="1:20" ht="57.6" customHeight="1" x14ac:dyDescent="0.3">
      <c r="A132" s="228"/>
      <c r="B132" s="365" t="s">
        <v>498</v>
      </c>
      <c r="C132" s="366" t="s">
        <v>499</v>
      </c>
      <c r="D132" s="366" t="s">
        <v>500</v>
      </c>
      <c r="E132" s="366" t="s">
        <v>501</v>
      </c>
      <c r="F132" s="366" t="s">
        <v>502</v>
      </c>
      <c r="G132" s="366" t="s">
        <v>503</v>
      </c>
      <c r="H132" s="366" t="s">
        <v>504</v>
      </c>
      <c r="I132" s="366" t="s">
        <v>505</v>
      </c>
      <c r="J132" s="366" t="s">
        <v>506</v>
      </c>
      <c r="K132" s="366" t="s">
        <v>507</v>
      </c>
      <c r="L132" s="366" t="s">
        <v>562</v>
      </c>
      <c r="M132" s="679" t="s">
        <v>563</v>
      </c>
      <c r="N132" s="680"/>
      <c r="O132" s="229"/>
      <c r="P132"/>
      <c r="Q132"/>
      <c r="T132"/>
    </row>
    <row r="133" spans="1:20" ht="28.5" customHeight="1" thickBot="1" x14ac:dyDescent="0.35">
      <c r="A133" s="228"/>
      <c r="B133" s="369">
        <v>14</v>
      </c>
      <c r="C133" s="239" t="s">
        <v>555</v>
      </c>
      <c r="D133" s="212">
        <v>10</v>
      </c>
      <c r="E133" s="212" t="s">
        <v>511</v>
      </c>
      <c r="F133" s="222" t="s">
        <v>96</v>
      </c>
      <c r="G133" s="222">
        <v>40</v>
      </c>
      <c r="H133" s="370" t="s">
        <v>96</v>
      </c>
      <c r="I133" s="212" t="s">
        <v>96</v>
      </c>
      <c r="J133" s="212" t="s">
        <v>96</v>
      </c>
      <c r="K133" s="222" t="s">
        <v>96</v>
      </c>
      <c r="L133" s="371">
        <f>H138</f>
        <v>0.33333333333333331</v>
      </c>
      <c r="M133" s="710">
        <f>L138</f>
        <v>51.470588235294116</v>
      </c>
      <c r="N133" s="711"/>
      <c r="O133" s="229"/>
      <c r="P133"/>
      <c r="Q133"/>
      <c r="T133"/>
    </row>
    <row r="134" spans="1:20" ht="28.5" customHeight="1" x14ac:dyDescent="0.3">
      <c r="A134" s="228"/>
      <c r="B134" s="683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9"/>
      <c r="O134" s="229"/>
      <c r="P134"/>
      <c r="Q134"/>
      <c r="T134"/>
    </row>
    <row r="135" spans="1:20" ht="28.5" customHeight="1" x14ac:dyDescent="0.3">
      <c r="A135" s="228"/>
      <c r="B135" s="47"/>
      <c r="C135" s="673" t="s">
        <v>564</v>
      </c>
      <c r="D135" s="674"/>
      <c r="E135" s="675"/>
      <c r="F135" s="375"/>
      <c r="G135" s="673" t="s">
        <v>565</v>
      </c>
      <c r="H135" s="674"/>
      <c r="I135" s="675"/>
      <c r="J135" s="375"/>
      <c r="K135" s="712" t="s">
        <v>566</v>
      </c>
      <c r="L135" s="712"/>
      <c r="M135" s="712"/>
      <c r="N135" s="376"/>
      <c r="O135" s="229"/>
      <c r="P135"/>
      <c r="Q135"/>
      <c r="T135"/>
    </row>
    <row r="136" spans="1:20" ht="28.5" customHeight="1" x14ac:dyDescent="0.3">
      <c r="A136" s="228"/>
      <c r="B136" s="47"/>
      <c r="C136" s="438"/>
      <c r="D136" s="439"/>
      <c r="E136" s="440"/>
      <c r="F136" s="379"/>
      <c r="G136" s="441" t="s">
        <v>567</v>
      </c>
      <c r="H136" s="420"/>
      <c r="I136" s="442"/>
      <c r="J136" s="379"/>
      <c r="K136" s="2"/>
      <c r="L136" s="21"/>
      <c r="M136" s="2"/>
      <c r="N136" s="381"/>
      <c r="O136" s="229"/>
      <c r="P136"/>
      <c r="Q136"/>
      <c r="T136"/>
    </row>
    <row r="137" spans="1:20" ht="28.5" customHeight="1" x14ac:dyDescent="0.3">
      <c r="A137" s="228"/>
      <c r="B137" s="47"/>
      <c r="C137" s="382" t="s">
        <v>515</v>
      </c>
      <c r="D137" s="11">
        <f>D133</f>
        <v>10</v>
      </c>
      <c r="E137" s="2" t="s">
        <v>516</v>
      </c>
      <c r="F137" s="379"/>
      <c r="G137" s="382" t="s">
        <v>568</v>
      </c>
      <c r="H137" s="3">
        <v>20</v>
      </c>
      <c r="I137" s="2" t="s">
        <v>546</v>
      </c>
      <c r="J137" s="379"/>
      <c r="K137" s="21" t="s">
        <v>519</v>
      </c>
      <c r="L137" s="445">
        <f>D146/H138</f>
        <v>26250</v>
      </c>
      <c r="M137" s="2" t="s">
        <v>520</v>
      </c>
      <c r="N137" s="381"/>
      <c r="O137" s="229"/>
      <c r="P137"/>
      <c r="Q137"/>
      <c r="T137"/>
    </row>
    <row r="138" spans="1:20" ht="34.5" customHeight="1" x14ac:dyDescent="0.3">
      <c r="A138" s="228"/>
      <c r="B138" s="47"/>
      <c r="C138" s="382" t="s">
        <v>521</v>
      </c>
      <c r="D138" s="11" t="s">
        <v>96</v>
      </c>
      <c r="E138" s="2" t="s">
        <v>522</v>
      </c>
      <c r="F138" s="379"/>
      <c r="G138" s="446" t="s">
        <v>568</v>
      </c>
      <c r="H138" s="25">
        <f>H137/60</f>
        <v>0.33333333333333331</v>
      </c>
      <c r="I138" s="22" t="s">
        <v>541</v>
      </c>
      <c r="J138" s="379"/>
      <c r="K138" s="431" t="s">
        <v>569</v>
      </c>
      <c r="L138" s="432">
        <f>L137/D145</f>
        <v>51.470588235294116</v>
      </c>
      <c r="M138" s="349" t="s">
        <v>570</v>
      </c>
      <c r="N138" s="381"/>
      <c r="O138" s="229"/>
      <c r="P138"/>
      <c r="Q138"/>
      <c r="T138"/>
    </row>
    <row r="139" spans="1:20" ht="28.5" customHeight="1" x14ac:dyDescent="0.3">
      <c r="A139" s="228"/>
      <c r="B139" s="47"/>
      <c r="C139" s="382" t="s">
        <v>526</v>
      </c>
      <c r="D139" s="3">
        <f>xx!H36</f>
        <v>1250</v>
      </c>
      <c r="E139" s="2" t="s">
        <v>527</v>
      </c>
      <c r="F139" s="379"/>
      <c r="G139" s="447"/>
      <c r="H139" s="448"/>
      <c r="I139" s="439"/>
      <c r="J139" s="379"/>
      <c r="K139" s="388"/>
      <c r="L139" s="454"/>
      <c r="M139" s="388"/>
      <c r="N139" s="381"/>
      <c r="O139" s="229"/>
      <c r="P139"/>
      <c r="Q139"/>
      <c r="T139"/>
    </row>
    <row r="140" spans="1:20" ht="28.5" customHeight="1" x14ac:dyDescent="0.3">
      <c r="A140" s="228"/>
      <c r="B140" s="47"/>
      <c r="C140" s="382" t="s">
        <v>529</v>
      </c>
      <c r="D140" s="11">
        <v>0.7</v>
      </c>
      <c r="E140" s="2" t="s">
        <v>524</v>
      </c>
      <c r="F140" s="379"/>
      <c r="G140" s="397"/>
      <c r="H140" s="449"/>
      <c r="I140" s="375"/>
      <c r="J140" s="379"/>
      <c r="K140" s="455"/>
      <c r="L140" s="455"/>
      <c r="M140" s="455"/>
      <c r="N140" s="381"/>
      <c r="O140" s="229"/>
      <c r="P140"/>
      <c r="Q140"/>
      <c r="T140"/>
    </row>
    <row r="141" spans="1:20" ht="28.5" customHeight="1" x14ac:dyDescent="0.3">
      <c r="A141" s="228"/>
      <c r="B141" s="47"/>
      <c r="C141" s="382" t="s">
        <v>531</v>
      </c>
      <c r="D141" s="383" t="s">
        <v>96</v>
      </c>
      <c r="E141" s="2" t="s">
        <v>532</v>
      </c>
      <c r="F141" s="379"/>
      <c r="G141" s="397"/>
      <c r="H141" s="375"/>
      <c r="I141" s="375"/>
      <c r="J141" s="379"/>
      <c r="K141" s="455"/>
      <c r="L141" s="455"/>
      <c r="M141" s="455"/>
      <c r="N141" s="381"/>
      <c r="O141" s="229"/>
      <c r="P141"/>
      <c r="Q141"/>
      <c r="T141"/>
    </row>
    <row r="142" spans="1:20" ht="28.5" customHeight="1" x14ac:dyDescent="0.3">
      <c r="A142" s="228"/>
      <c r="B142" s="47"/>
      <c r="C142" s="382" t="s">
        <v>535</v>
      </c>
      <c r="D142" s="11">
        <v>30</v>
      </c>
      <c r="E142" s="2" t="s">
        <v>518</v>
      </c>
      <c r="F142" s="379"/>
      <c r="G142" s="397"/>
      <c r="H142" s="375"/>
      <c r="I142" s="420"/>
      <c r="J142" s="379"/>
      <c r="K142" s="379"/>
      <c r="L142" s="375"/>
      <c r="M142" s="379"/>
      <c r="N142" s="381"/>
      <c r="O142" s="229"/>
      <c r="P142"/>
      <c r="Q142"/>
      <c r="T142"/>
    </row>
    <row r="143" spans="1:20" ht="28.5" customHeight="1" x14ac:dyDescent="0.3">
      <c r="A143" s="228"/>
      <c r="B143" s="47"/>
      <c r="C143" s="382" t="s">
        <v>538</v>
      </c>
      <c r="D143" s="11">
        <v>40</v>
      </c>
      <c r="E143" s="2" t="s">
        <v>518</v>
      </c>
      <c r="F143" s="379"/>
      <c r="G143" s="375"/>
      <c r="H143" s="420"/>
      <c r="I143" s="420"/>
      <c r="J143" s="379"/>
      <c r="K143" s="379"/>
      <c r="L143" s="375"/>
      <c r="M143" s="379"/>
      <c r="N143" s="381"/>
      <c r="O143" s="229"/>
      <c r="P143"/>
      <c r="Q143"/>
      <c r="T143"/>
    </row>
    <row r="144" spans="1:20" ht="28.5" customHeight="1" x14ac:dyDescent="0.3">
      <c r="A144" s="228"/>
      <c r="B144" s="47"/>
      <c r="C144" s="382" t="s">
        <v>539</v>
      </c>
      <c r="D144" s="2">
        <v>21</v>
      </c>
      <c r="E144" s="2" t="s">
        <v>534</v>
      </c>
      <c r="F144" s="379"/>
      <c r="G144" s="411"/>
      <c r="H144" s="450"/>
      <c r="I144" s="411"/>
      <c r="J144" s="379"/>
      <c r="K144" s="388"/>
      <c r="L144" s="391"/>
      <c r="M144" s="388"/>
      <c r="N144" s="381"/>
      <c r="O144" s="229"/>
      <c r="P144"/>
      <c r="Q144"/>
      <c r="T144"/>
    </row>
    <row r="145" spans="1:20" ht="28.5" customHeight="1" x14ac:dyDescent="0.3">
      <c r="A145" s="228"/>
      <c r="B145" s="47"/>
      <c r="C145" s="382" t="s">
        <v>571</v>
      </c>
      <c r="D145" s="11">
        <v>510</v>
      </c>
      <c r="E145" s="2" t="s">
        <v>572</v>
      </c>
      <c r="F145" s="379"/>
      <c r="G145"/>
      <c r="H145"/>
      <c r="I145"/>
      <c r="J145" s="379"/>
      <c r="K145" s="388"/>
      <c r="L145" s="397"/>
      <c r="M145" s="388"/>
      <c r="N145" s="381"/>
      <c r="O145" s="229"/>
      <c r="P145"/>
      <c r="Q145"/>
      <c r="T145"/>
    </row>
    <row r="146" spans="1:20" ht="28.5" customHeight="1" x14ac:dyDescent="0.3">
      <c r="A146" s="228"/>
      <c r="B146" s="47"/>
      <c r="C146" s="392" t="s">
        <v>573</v>
      </c>
      <c r="D146" s="393">
        <f>((D139*D140*(D143-D142)))</f>
        <v>8750</v>
      </c>
      <c r="E146" s="389" t="s">
        <v>543</v>
      </c>
      <c r="F146" s="379"/>
      <c r="G146"/>
      <c r="H146"/>
      <c r="I146"/>
      <c r="J146" s="379"/>
      <c r="K146" s="388"/>
      <c r="L146" s="401"/>
      <c r="M146" s="401"/>
      <c r="N146" s="381"/>
      <c r="O146" s="229"/>
      <c r="P146"/>
      <c r="Q146"/>
      <c r="T146"/>
    </row>
    <row r="147" spans="1:20" ht="28.5" customHeight="1" thickBot="1" x14ac:dyDescent="0.35">
      <c r="A147" s="228"/>
      <c r="B147" s="402"/>
      <c r="C147" s="403"/>
      <c r="D147" s="403"/>
      <c r="E147" s="403"/>
      <c r="F147" s="403"/>
      <c r="G147" s="403"/>
      <c r="H147" s="403"/>
      <c r="I147" s="403"/>
      <c r="J147" s="403"/>
      <c r="K147" s="403"/>
      <c r="L147" s="405"/>
      <c r="M147" s="403"/>
      <c r="N147" s="406"/>
      <c r="O147" s="229"/>
      <c r="P147"/>
      <c r="Q147"/>
      <c r="T147"/>
    </row>
    <row r="148" spans="1:20" ht="57.6" customHeight="1" x14ac:dyDescent="0.3">
      <c r="A148" s="228"/>
      <c r="B148" s="365" t="s">
        <v>498</v>
      </c>
      <c r="C148" s="366" t="s">
        <v>499</v>
      </c>
      <c r="D148" s="366" t="s">
        <v>500</v>
      </c>
      <c r="E148" s="366" t="s">
        <v>501</v>
      </c>
      <c r="F148" s="366" t="s">
        <v>502</v>
      </c>
      <c r="G148" s="366" t="s">
        <v>503</v>
      </c>
      <c r="H148" s="366" t="s">
        <v>504</v>
      </c>
      <c r="I148" s="366" t="s">
        <v>505</v>
      </c>
      <c r="J148" s="366" t="s">
        <v>506</v>
      </c>
      <c r="K148" s="366" t="s">
        <v>507</v>
      </c>
      <c r="L148" s="366" t="s">
        <v>562</v>
      </c>
      <c r="M148" s="679" t="s">
        <v>563</v>
      </c>
      <c r="N148" s="680"/>
      <c r="O148" s="229"/>
      <c r="P148"/>
      <c r="Q148"/>
      <c r="T148"/>
    </row>
    <row r="149" spans="1:20" ht="28.5" customHeight="1" thickBot="1" x14ac:dyDescent="0.35">
      <c r="A149" s="228"/>
      <c r="B149" s="369">
        <v>16</v>
      </c>
      <c r="C149" s="239" t="s">
        <v>555</v>
      </c>
      <c r="D149" s="212">
        <v>10</v>
      </c>
      <c r="E149" s="212" t="s">
        <v>511</v>
      </c>
      <c r="F149" s="222" t="s">
        <v>96</v>
      </c>
      <c r="G149" s="222">
        <v>40</v>
      </c>
      <c r="H149" s="370" t="s">
        <v>96</v>
      </c>
      <c r="I149" s="212" t="s">
        <v>96</v>
      </c>
      <c r="J149" s="212" t="s">
        <v>96</v>
      </c>
      <c r="K149" s="222" t="s">
        <v>96</v>
      </c>
      <c r="L149" s="371">
        <f>H154</f>
        <v>0.33333333333333331</v>
      </c>
      <c r="M149" s="710">
        <f>L154</f>
        <v>61.764705882352942</v>
      </c>
      <c r="N149" s="711"/>
      <c r="O149" s="229"/>
      <c r="P149"/>
      <c r="Q149"/>
      <c r="T149"/>
    </row>
    <row r="150" spans="1:20" ht="28.5" customHeight="1" x14ac:dyDescent="0.3">
      <c r="A150" s="228"/>
      <c r="B150" s="683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9"/>
      <c r="O150" s="229"/>
      <c r="P150"/>
      <c r="Q150"/>
      <c r="T150"/>
    </row>
    <row r="151" spans="1:20" ht="28.5" customHeight="1" x14ac:dyDescent="0.3">
      <c r="A151" s="228"/>
      <c r="B151" s="47"/>
      <c r="C151" s="673" t="s">
        <v>564</v>
      </c>
      <c r="D151" s="674"/>
      <c r="E151" s="675"/>
      <c r="F151" s="375"/>
      <c r="G151" s="372" t="s">
        <v>565</v>
      </c>
      <c r="H151" s="373"/>
      <c r="I151" s="374"/>
      <c r="J151" s="375"/>
      <c r="K151" s="712" t="s">
        <v>566</v>
      </c>
      <c r="L151" s="712"/>
      <c r="M151" s="712"/>
      <c r="N151" s="376"/>
      <c r="O151" s="229"/>
      <c r="P151"/>
      <c r="Q151"/>
      <c r="T151"/>
    </row>
    <row r="152" spans="1:20" ht="28.5" customHeight="1" x14ac:dyDescent="0.3">
      <c r="A152" s="228"/>
      <c r="B152" s="47"/>
      <c r="C152" s="438"/>
      <c r="D152" s="439"/>
      <c r="E152" s="440"/>
      <c r="F152" s="379"/>
      <c r="G152" s="441" t="s">
        <v>567</v>
      </c>
      <c r="H152" s="420"/>
      <c r="I152" s="442"/>
      <c r="J152" s="379"/>
      <c r="K152" s="2"/>
      <c r="L152" s="21"/>
      <c r="M152" s="2"/>
      <c r="N152" s="381"/>
      <c r="O152" s="229"/>
      <c r="P152"/>
      <c r="Q152"/>
      <c r="T152"/>
    </row>
    <row r="153" spans="1:20" ht="28.5" customHeight="1" x14ac:dyDescent="0.3">
      <c r="A153" s="228"/>
      <c r="B153" s="47"/>
      <c r="C153" s="382" t="s">
        <v>515</v>
      </c>
      <c r="D153" s="11">
        <f>D149</f>
        <v>10</v>
      </c>
      <c r="E153" s="2" t="s">
        <v>516</v>
      </c>
      <c r="F153" s="379"/>
      <c r="G153" s="382" t="s">
        <v>568</v>
      </c>
      <c r="H153" s="3">
        <v>20</v>
      </c>
      <c r="I153" s="2" t="s">
        <v>546</v>
      </c>
      <c r="J153" s="379"/>
      <c r="K153" s="21" t="s">
        <v>519</v>
      </c>
      <c r="L153" s="445">
        <f>D162/H154</f>
        <v>31500</v>
      </c>
      <c r="M153" s="2" t="s">
        <v>520</v>
      </c>
      <c r="N153" s="381"/>
      <c r="O153" s="229"/>
      <c r="P153"/>
      <c r="Q153"/>
      <c r="T153"/>
    </row>
    <row r="154" spans="1:20" ht="34.5" customHeight="1" x14ac:dyDescent="0.3">
      <c r="A154" s="228"/>
      <c r="B154" s="47"/>
      <c r="C154" s="382" t="s">
        <v>521</v>
      </c>
      <c r="D154" s="11" t="s">
        <v>96</v>
      </c>
      <c r="E154" s="2" t="s">
        <v>522</v>
      </c>
      <c r="F154" s="379"/>
      <c r="G154" s="446" t="s">
        <v>568</v>
      </c>
      <c r="H154" s="25">
        <f>H153/60</f>
        <v>0.33333333333333331</v>
      </c>
      <c r="I154" s="22" t="s">
        <v>541</v>
      </c>
      <c r="J154" s="379"/>
      <c r="K154" s="431" t="s">
        <v>569</v>
      </c>
      <c r="L154" s="432">
        <f>L153/D161</f>
        <v>61.764705882352942</v>
      </c>
      <c r="M154" s="349" t="s">
        <v>570</v>
      </c>
      <c r="N154" s="381"/>
      <c r="O154" s="229"/>
      <c r="P154"/>
      <c r="Q154"/>
      <c r="T154"/>
    </row>
    <row r="155" spans="1:20" ht="28.5" customHeight="1" x14ac:dyDescent="0.3">
      <c r="A155" s="228"/>
      <c r="B155" s="47"/>
      <c r="C155" s="382" t="s">
        <v>526</v>
      </c>
      <c r="D155" s="3">
        <f>xx!H38</f>
        <v>1500</v>
      </c>
      <c r="E155" s="2" t="s">
        <v>527</v>
      </c>
      <c r="F155" s="379"/>
      <c r="G155" s="447"/>
      <c r="H155" s="448"/>
      <c r="I155" s="439"/>
      <c r="J155" s="379"/>
      <c r="K155" s="388"/>
      <c r="L155" s="454"/>
      <c r="M155" s="388"/>
      <c r="N155" s="381"/>
      <c r="O155" s="229"/>
      <c r="P155"/>
      <c r="Q155"/>
      <c r="T155"/>
    </row>
    <row r="156" spans="1:20" ht="28.5" customHeight="1" x14ac:dyDescent="0.3">
      <c r="A156" s="228"/>
      <c r="B156" s="47"/>
      <c r="C156" s="382" t="s">
        <v>529</v>
      </c>
      <c r="D156" s="11">
        <v>0.7</v>
      </c>
      <c r="E156" s="2" t="s">
        <v>524</v>
      </c>
      <c r="F156" s="379"/>
      <c r="G156" s="397"/>
      <c r="H156" s="449"/>
      <c r="I156" s="375"/>
      <c r="J156" s="379"/>
      <c r="K156" s="455"/>
      <c r="L156" s="455"/>
      <c r="M156" s="455"/>
      <c r="N156" s="381"/>
      <c r="O156" s="229"/>
      <c r="P156"/>
      <c r="Q156"/>
      <c r="T156"/>
    </row>
    <row r="157" spans="1:20" ht="28.5" customHeight="1" x14ac:dyDescent="0.3">
      <c r="A157" s="228"/>
      <c r="B157" s="47"/>
      <c r="C157" s="382" t="s">
        <v>531</v>
      </c>
      <c r="D157" s="383" t="s">
        <v>96</v>
      </c>
      <c r="E157" s="2" t="s">
        <v>532</v>
      </c>
      <c r="F157" s="379"/>
      <c r="G157" s="397"/>
      <c r="H157" s="375"/>
      <c r="I157" s="375"/>
      <c r="J157" s="379"/>
      <c r="K157" s="455"/>
      <c r="L157" s="455"/>
      <c r="M157" s="455"/>
      <c r="N157" s="381"/>
      <c r="O157" s="229"/>
      <c r="P157"/>
      <c r="Q157"/>
      <c r="T157"/>
    </row>
    <row r="158" spans="1:20" ht="28.5" customHeight="1" x14ac:dyDescent="0.3">
      <c r="A158" s="228"/>
      <c r="B158" s="47"/>
      <c r="C158" s="382" t="s">
        <v>535</v>
      </c>
      <c r="D158" s="11">
        <v>30</v>
      </c>
      <c r="E158" s="2" t="s">
        <v>518</v>
      </c>
      <c r="F158" s="379"/>
      <c r="G158" s="397"/>
      <c r="H158" s="375"/>
      <c r="I158" s="420"/>
      <c r="J158" s="379"/>
      <c r="K158" s="379"/>
      <c r="L158" s="375"/>
      <c r="M158" s="379"/>
      <c r="N158" s="381"/>
      <c r="O158" s="229"/>
      <c r="P158"/>
      <c r="Q158"/>
      <c r="T158"/>
    </row>
    <row r="159" spans="1:20" ht="28.5" customHeight="1" x14ac:dyDescent="0.3">
      <c r="A159" s="228"/>
      <c r="B159" s="47"/>
      <c r="C159" s="382" t="s">
        <v>538</v>
      </c>
      <c r="D159" s="11">
        <v>40</v>
      </c>
      <c r="E159" s="2" t="s">
        <v>518</v>
      </c>
      <c r="F159" s="379"/>
      <c r="G159" s="375"/>
      <c r="H159" s="420"/>
      <c r="I159" s="420"/>
      <c r="J159" s="379"/>
      <c r="K159" s="379"/>
      <c r="L159" s="375"/>
      <c r="M159" s="379"/>
      <c r="N159" s="381"/>
      <c r="O159" s="229"/>
      <c r="P159"/>
      <c r="Q159"/>
      <c r="T159"/>
    </row>
    <row r="160" spans="1:20" ht="28.5" customHeight="1" x14ac:dyDescent="0.3">
      <c r="A160" s="228"/>
      <c r="B160" s="47"/>
      <c r="C160" s="382" t="s">
        <v>539</v>
      </c>
      <c r="D160" s="2">
        <v>21</v>
      </c>
      <c r="E160" s="2" t="s">
        <v>534</v>
      </c>
      <c r="F160" s="379"/>
      <c r="G160" s="411"/>
      <c r="H160" s="450"/>
      <c r="I160" s="411"/>
      <c r="J160" s="379"/>
      <c r="K160" s="388"/>
      <c r="L160" s="391"/>
      <c r="M160" s="388"/>
      <c r="N160" s="381"/>
      <c r="O160" s="229"/>
      <c r="P160"/>
      <c r="Q160"/>
      <c r="T160"/>
    </row>
    <row r="161" spans="1:20" ht="28.5" customHeight="1" x14ac:dyDescent="0.3">
      <c r="A161" s="228"/>
      <c r="B161" s="47"/>
      <c r="C161" s="382" t="s">
        <v>571</v>
      </c>
      <c r="D161" s="11">
        <v>510</v>
      </c>
      <c r="E161" s="2" t="s">
        <v>572</v>
      </c>
      <c r="F161" s="379"/>
      <c r="G161"/>
      <c r="H161"/>
      <c r="I161"/>
      <c r="J161" s="379"/>
      <c r="K161" s="388"/>
      <c r="L161" s="397"/>
      <c r="M161" s="388"/>
      <c r="N161" s="381"/>
      <c r="O161" s="229"/>
      <c r="P161"/>
      <c r="Q161"/>
      <c r="T161"/>
    </row>
    <row r="162" spans="1:20" ht="28.5" customHeight="1" x14ac:dyDescent="0.3">
      <c r="A162" s="228"/>
      <c r="B162" s="47"/>
      <c r="C162" s="392" t="s">
        <v>573</v>
      </c>
      <c r="D162" s="393">
        <f>((D155*D156*(D159-D158)))</f>
        <v>10500</v>
      </c>
      <c r="E162" s="389" t="s">
        <v>543</v>
      </c>
      <c r="F162" s="379"/>
      <c r="G162"/>
      <c r="H162"/>
      <c r="I162"/>
      <c r="J162" s="379"/>
      <c r="K162" s="388"/>
      <c r="L162" s="401"/>
      <c r="M162" s="401"/>
      <c r="N162" s="381"/>
      <c r="O162" s="229"/>
      <c r="P162"/>
      <c r="Q162"/>
      <c r="T162"/>
    </row>
    <row r="163" spans="1:20" ht="28.5" customHeight="1" thickBot="1" x14ac:dyDescent="0.35">
      <c r="A163" s="228"/>
      <c r="B163" s="402"/>
      <c r="C163" s="403"/>
      <c r="D163" s="403"/>
      <c r="E163" s="403"/>
      <c r="F163" s="403"/>
      <c r="G163" s="403"/>
      <c r="H163" s="403"/>
      <c r="I163" s="403"/>
      <c r="J163" s="403"/>
      <c r="K163" s="403"/>
      <c r="L163" s="405"/>
      <c r="M163" s="403"/>
      <c r="N163" s="406"/>
      <c r="O163" s="229"/>
      <c r="P163"/>
      <c r="Q163"/>
      <c r="T163"/>
    </row>
    <row r="164" spans="1:20" ht="57.6" customHeight="1" x14ac:dyDescent="0.3">
      <c r="A164" s="228"/>
      <c r="B164" s="365" t="s">
        <v>498</v>
      </c>
      <c r="C164" s="366" t="s">
        <v>499</v>
      </c>
      <c r="D164" s="366" t="s">
        <v>500</v>
      </c>
      <c r="E164" s="366" t="s">
        <v>501</v>
      </c>
      <c r="F164" s="366" t="s">
        <v>502</v>
      </c>
      <c r="G164" s="366" t="s">
        <v>503</v>
      </c>
      <c r="H164" s="366" t="s">
        <v>504</v>
      </c>
      <c r="I164" s="366" t="s">
        <v>505</v>
      </c>
      <c r="J164" s="366" t="s">
        <v>506</v>
      </c>
      <c r="K164" s="366" t="s">
        <v>507</v>
      </c>
      <c r="L164" s="366" t="s">
        <v>562</v>
      </c>
      <c r="M164" s="679" t="s">
        <v>563</v>
      </c>
      <c r="N164" s="680"/>
      <c r="O164" s="229"/>
      <c r="P164"/>
      <c r="Q164"/>
      <c r="T164"/>
    </row>
    <row r="165" spans="1:20" ht="28.5" customHeight="1" thickBot="1" x14ac:dyDescent="0.35">
      <c r="A165" s="228"/>
      <c r="B165" s="369">
        <v>18</v>
      </c>
      <c r="C165" s="239" t="s">
        <v>555</v>
      </c>
      <c r="D165" s="212">
        <v>10</v>
      </c>
      <c r="E165" s="212" t="s">
        <v>511</v>
      </c>
      <c r="F165" s="222" t="s">
        <v>96</v>
      </c>
      <c r="G165" s="222">
        <v>40</v>
      </c>
      <c r="H165" s="370" t="s">
        <v>96</v>
      </c>
      <c r="I165" s="212" t="s">
        <v>96</v>
      </c>
      <c r="J165" s="212" t="s">
        <v>96</v>
      </c>
      <c r="K165" s="222" t="s">
        <v>96</v>
      </c>
      <c r="L165" s="371">
        <f>H170</f>
        <v>0.33333333333333331</v>
      </c>
      <c r="M165" s="710">
        <f>L170</f>
        <v>62.176470588235297</v>
      </c>
      <c r="N165" s="711"/>
      <c r="O165" s="229"/>
      <c r="P165"/>
      <c r="Q165"/>
      <c r="T165"/>
    </row>
    <row r="166" spans="1:20" ht="28.5" customHeight="1" x14ac:dyDescent="0.3">
      <c r="A166" s="228"/>
      <c r="B166" s="683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9"/>
      <c r="O166" s="229"/>
      <c r="P166"/>
      <c r="Q166"/>
      <c r="T166"/>
    </row>
    <row r="167" spans="1:20" ht="28.5" customHeight="1" x14ac:dyDescent="0.3">
      <c r="A167" s="228"/>
      <c r="B167" s="47"/>
      <c r="C167" s="673" t="s">
        <v>564</v>
      </c>
      <c r="D167" s="674"/>
      <c r="E167" s="675"/>
      <c r="F167" s="375"/>
      <c r="G167" s="372" t="s">
        <v>565</v>
      </c>
      <c r="H167" s="373"/>
      <c r="I167" s="374"/>
      <c r="J167" s="375"/>
      <c r="K167" s="712" t="s">
        <v>566</v>
      </c>
      <c r="L167" s="712"/>
      <c r="M167" s="712"/>
      <c r="N167" s="376"/>
      <c r="O167" s="229"/>
      <c r="P167"/>
      <c r="Q167"/>
      <c r="T167"/>
    </row>
    <row r="168" spans="1:20" ht="28.5" customHeight="1" x14ac:dyDescent="0.3">
      <c r="A168" s="228"/>
      <c r="B168" s="47"/>
      <c r="C168" s="438"/>
      <c r="D168" s="439"/>
      <c r="E168" s="440"/>
      <c r="F168" s="379"/>
      <c r="G168" s="441" t="s">
        <v>567</v>
      </c>
      <c r="H168" s="420"/>
      <c r="I168" s="442"/>
      <c r="J168" s="379"/>
      <c r="K168" s="2"/>
      <c r="L168" s="21"/>
      <c r="M168" s="2"/>
      <c r="N168" s="381"/>
      <c r="O168" s="229"/>
      <c r="P168"/>
      <c r="Q168"/>
      <c r="T168"/>
    </row>
    <row r="169" spans="1:20" ht="28.5" customHeight="1" x14ac:dyDescent="0.3">
      <c r="A169" s="228"/>
      <c r="B169" s="47"/>
      <c r="C169" s="382" t="s">
        <v>515</v>
      </c>
      <c r="D169" s="11">
        <f>D165</f>
        <v>10</v>
      </c>
      <c r="E169" s="2" t="s">
        <v>516</v>
      </c>
      <c r="F169" s="379"/>
      <c r="G169" s="382" t="s">
        <v>568</v>
      </c>
      <c r="H169" s="3">
        <v>20</v>
      </c>
      <c r="I169" s="2" t="s">
        <v>546</v>
      </c>
      <c r="J169" s="379"/>
      <c r="K169" s="21" t="s">
        <v>519</v>
      </c>
      <c r="L169" s="445">
        <f>D178/H170</f>
        <v>31710</v>
      </c>
      <c r="M169" s="2" t="s">
        <v>520</v>
      </c>
      <c r="N169" s="381"/>
      <c r="O169" s="229"/>
      <c r="P169"/>
      <c r="Q169"/>
      <c r="T169"/>
    </row>
    <row r="170" spans="1:20" ht="34.5" customHeight="1" x14ac:dyDescent="0.3">
      <c r="A170" s="228"/>
      <c r="B170" s="47"/>
      <c r="C170" s="382" t="s">
        <v>521</v>
      </c>
      <c r="D170" s="11" t="s">
        <v>96</v>
      </c>
      <c r="E170" s="2" t="s">
        <v>522</v>
      </c>
      <c r="F170" s="379"/>
      <c r="G170" s="446" t="s">
        <v>568</v>
      </c>
      <c r="H170" s="25">
        <f>H169/60</f>
        <v>0.33333333333333331</v>
      </c>
      <c r="I170" s="22" t="s">
        <v>541</v>
      </c>
      <c r="J170" s="379"/>
      <c r="K170" s="431" t="s">
        <v>569</v>
      </c>
      <c r="L170" s="432">
        <f>L169/D177</f>
        <v>62.176470588235297</v>
      </c>
      <c r="M170" s="349" t="s">
        <v>570</v>
      </c>
      <c r="N170" s="381"/>
      <c r="O170" s="229"/>
      <c r="P170"/>
      <c r="Q170"/>
      <c r="T170"/>
    </row>
    <row r="171" spans="1:20" ht="28.5" customHeight="1" x14ac:dyDescent="0.3">
      <c r="A171" s="228"/>
      <c r="B171" s="47"/>
      <c r="C171" s="382" t="s">
        <v>526</v>
      </c>
      <c r="D171" s="3">
        <f>xx!H40</f>
        <v>1510</v>
      </c>
      <c r="E171" s="2" t="s">
        <v>527</v>
      </c>
      <c r="F171" s="379"/>
      <c r="G171" s="447"/>
      <c r="H171" s="448"/>
      <c r="I171" s="439"/>
      <c r="J171" s="379"/>
      <c r="K171" s="388"/>
      <c r="L171" s="454"/>
      <c r="M171" s="388"/>
      <c r="N171" s="381"/>
      <c r="O171" s="229"/>
      <c r="P171"/>
      <c r="Q171"/>
      <c r="T171"/>
    </row>
    <row r="172" spans="1:20" ht="28.5" customHeight="1" x14ac:dyDescent="0.3">
      <c r="A172" s="228"/>
      <c r="B172" s="47"/>
      <c r="C172" s="382" t="s">
        <v>529</v>
      </c>
      <c r="D172" s="11">
        <v>0.7</v>
      </c>
      <c r="E172" s="2" t="s">
        <v>524</v>
      </c>
      <c r="F172" s="379"/>
      <c r="G172" s="397"/>
      <c r="H172" s="449"/>
      <c r="I172" s="375"/>
      <c r="J172" s="379"/>
      <c r="K172" s="455"/>
      <c r="L172" s="455"/>
      <c r="M172" s="455"/>
      <c r="N172" s="381"/>
      <c r="O172" s="229"/>
      <c r="P172"/>
      <c r="Q172"/>
      <c r="T172"/>
    </row>
    <row r="173" spans="1:20" ht="28.5" customHeight="1" x14ac:dyDescent="0.3">
      <c r="A173" s="228"/>
      <c r="B173" s="47"/>
      <c r="C173" s="382" t="s">
        <v>531</v>
      </c>
      <c r="D173" s="383" t="s">
        <v>96</v>
      </c>
      <c r="E173" s="2" t="s">
        <v>532</v>
      </c>
      <c r="F173" s="379"/>
      <c r="G173" s="397"/>
      <c r="H173" s="375"/>
      <c r="I173" s="375"/>
      <c r="J173" s="379"/>
      <c r="K173" s="455"/>
      <c r="L173" s="455"/>
      <c r="M173" s="455"/>
      <c r="N173" s="381"/>
      <c r="O173" s="229"/>
      <c r="P173"/>
      <c r="Q173"/>
      <c r="T173"/>
    </row>
    <row r="174" spans="1:20" ht="28.5" customHeight="1" x14ac:dyDescent="0.3">
      <c r="A174" s="228"/>
      <c r="B174" s="47"/>
      <c r="C174" s="382" t="s">
        <v>535</v>
      </c>
      <c r="D174" s="11">
        <v>30</v>
      </c>
      <c r="E174" s="2" t="s">
        <v>518</v>
      </c>
      <c r="F174" s="379"/>
      <c r="G174" s="397"/>
      <c r="H174" s="375"/>
      <c r="I174" s="420"/>
      <c r="J174" s="379"/>
      <c r="K174" s="379"/>
      <c r="L174" s="375"/>
      <c r="M174" s="379"/>
      <c r="N174" s="381"/>
      <c r="O174" s="229"/>
      <c r="P174"/>
      <c r="Q174"/>
      <c r="T174"/>
    </row>
    <row r="175" spans="1:20" ht="28.5" customHeight="1" x14ac:dyDescent="0.3">
      <c r="A175" s="228"/>
      <c r="B175" s="47"/>
      <c r="C175" s="382" t="s">
        <v>538</v>
      </c>
      <c r="D175" s="11">
        <v>40</v>
      </c>
      <c r="E175" s="2" t="s">
        <v>518</v>
      </c>
      <c r="F175" s="379"/>
      <c r="G175" s="375"/>
      <c r="H175" s="420"/>
      <c r="I175" s="420"/>
      <c r="J175" s="379"/>
      <c r="K175" s="379"/>
      <c r="L175" s="375"/>
      <c r="M175" s="379"/>
      <c r="N175" s="381"/>
      <c r="O175" s="229"/>
      <c r="P175"/>
      <c r="Q175"/>
      <c r="T175"/>
    </row>
    <row r="176" spans="1:20" ht="28.5" customHeight="1" x14ac:dyDescent="0.3">
      <c r="A176" s="228"/>
      <c r="B176" s="47"/>
      <c r="C176" s="382" t="s">
        <v>539</v>
      </c>
      <c r="D176" s="2">
        <v>21</v>
      </c>
      <c r="E176" s="2" t="s">
        <v>534</v>
      </c>
      <c r="F176" s="379"/>
      <c r="G176" s="411"/>
      <c r="H176" s="450"/>
      <c r="I176" s="411"/>
      <c r="J176" s="379"/>
      <c r="K176" s="388"/>
      <c r="L176" s="391"/>
      <c r="M176" s="388"/>
      <c r="N176" s="381"/>
      <c r="O176" s="229"/>
      <c r="P176"/>
      <c r="Q176"/>
      <c r="T176"/>
    </row>
    <row r="177" spans="1:20" ht="28.5" customHeight="1" x14ac:dyDescent="0.3">
      <c r="A177" s="228"/>
      <c r="B177" s="47"/>
      <c r="C177" s="382" t="s">
        <v>571</v>
      </c>
      <c r="D177" s="11">
        <v>510</v>
      </c>
      <c r="E177" s="2" t="s">
        <v>572</v>
      </c>
      <c r="F177" s="379"/>
      <c r="G177"/>
      <c r="H177"/>
      <c r="I177"/>
      <c r="J177" s="379"/>
      <c r="K177" s="388"/>
      <c r="L177" s="397"/>
      <c r="M177" s="388"/>
      <c r="N177" s="381"/>
      <c r="O177" s="229"/>
      <c r="P177"/>
      <c r="Q177"/>
      <c r="T177"/>
    </row>
    <row r="178" spans="1:20" ht="28.5" customHeight="1" x14ac:dyDescent="0.3">
      <c r="A178" s="228"/>
      <c r="B178" s="47"/>
      <c r="C178" s="392" t="s">
        <v>573</v>
      </c>
      <c r="D178" s="393">
        <f>((D171*D172*(D175-D174)))</f>
        <v>10570</v>
      </c>
      <c r="E178" s="389" t="s">
        <v>543</v>
      </c>
      <c r="F178" s="379"/>
      <c r="G178"/>
      <c r="H178"/>
      <c r="I178"/>
      <c r="J178" s="379"/>
      <c r="K178" s="388"/>
      <c r="L178" s="401"/>
      <c r="M178" s="401"/>
      <c r="N178" s="381"/>
      <c r="O178" s="229"/>
      <c r="P178"/>
      <c r="Q178"/>
      <c r="T178"/>
    </row>
    <row r="179" spans="1:20" ht="28.5" customHeight="1" thickBot="1" x14ac:dyDescent="0.35">
      <c r="A179" s="228"/>
      <c r="B179" s="402"/>
      <c r="C179" s="403"/>
      <c r="D179" s="403"/>
      <c r="E179" s="403"/>
      <c r="F179" s="403"/>
      <c r="G179" s="403"/>
      <c r="H179" s="403"/>
      <c r="I179" s="403"/>
      <c r="J179" s="403"/>
      <c r="K179" s="403"/>
      <c r="L179" s="405"/>
      <c r="M179" s="403"/>
      <c r="N179" s="406"/>
      <c r="O179" s="229"/>
      <c r="P179"/>
      <c r="Q179"/>
      <c r="T179"/>
    </row>
    <row r="180" spans="1:20" ht="55.05" customHeight="1" x14ac:dyDescent="0.3">
      <c r="A180" s="228"/>
      <c r="B180" s="365" t="s">
        <v>498</v>
      </c>
      <c r="C180" s="366" t="s">
        <v>499</v>
      </c>
      <c r="D180" s="366" t="s">
        <v>500</v>
      </c>
      <c r="E180" s="366" t="s">
        <v>501</v>
      </c>
      <c r="F180" s="366" t="s">
        <v>502</v>
      </c>
      <c r="G180" s="366" t="s">
        <v>574</v>
      </c>
      <c r="H180" s="366" t="s">
        <v>504</v>
      </c>
      <c r="I180" s="366" t="s">
        <v>505</v>
      </c>
      <c r="J180" s="366" t="s">
        <v>506</v>
      </c>
      <c r="K180" s="366" t="s">
        <v>507</v>
      </c>
      <c r="L180" s="366" t="s">
        <v>562</v>
      </c>
      <c r="M180" s="679" t="s">
        <v>563</v>
      </c>
      <c r="N180" s="680"/>
      <c r="O180" s="229"/>
      <c r="P180"/>
      <c r="Q180"/>
      <c r="T180"/>
    </row>
    <row r="181" spans="1:20" ht="30" customHeight="1" thickBot="1" x14ac:dyDescent="0.35">
      <c r="A181" s="228"/>
      <c r="B181" s="369">
        <v>20</v>
      </c>
      <c r="C181" s="222" t="s">
        <v>555</v>
      </c>
      <c r="D181" s="222">
        <v>10</v>
      </c>
      <c r="E181" s="212" t="s">
        <v>511</v>
      </c>
      <c r="F181" s="222" t="s">
        <v>96</v>
      </c>
      <c r="G181" s="222">
        <v>65</v>
      </c>
      <c r="H181" s="456" t="e">
        <f>(#REF!/#REF!)/#REF!</f>
        <v>#REF!</v>
      </c>
      <c r="I181" s="212" t="s">
        <v>96</v>
      </c>
      <c r="J181" s="212" t="s">
        <v>96</v>
      </c>
      <c r="K181" s="457">
        <f>xx!I42/xx!J41</f>
        <v>0.34182191078448126</v>
      </c>
      <c r="L181" s="371">
        <f>H195</f>
        <v>6</v>
      </c>
      <c r="M181" s="681">
        <f>L186</f>
        <v>105.82614379084968</v>
      </c>
      <c r="N181" s="682"/>
      <c r="O181" s="229"/>
      <c r="P181"/>
      <c r="Q181"/>
      <c r="T181"/>
    </row>
    <row r="182" spans="1:20" ht="30" customHeight="1" x14ac:dyDescent="0.3">
      <c r="A182" s="228"/>
      <c r="B182" s="683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9"/>
      <c r="O182" s="229"/>
      <c r="P182"/>
      <c r="Q182"/>
      <c r="T182"/>
    </row>
    <row r="183" spans="1:20" ht="30" customHeight="1" x14ac:dyDescent="0.3">
      <c r="A183" s="228"/>
      <c r="B183" s="47"/>
      <c r="C183" s="673" t="s">
        <v>564</v>
      </c>
      <c r="D183" s="674"/>
      <c r="E183" s="675"/>
      <c r="F183" s="375"/>
      <c r="G183" s="673" t="s">
        <v>565</v>
      </c>
      <c r="H183" s="674"/>
      <c r="I183" s="675"/>
      <c r="J183" s="375"/>
      <c r="K183" s="673" t="s">
        <v>566</v>
      </c>
      <c r="L183" s="674"/>
      <c r="M183" s="675"/>
      <c r="N183" s="376"/>
      <c r="O183" s="229"/>
      <c r="P183"/>
      <c r="Q183"/>
      <c r="T183"/>
    </row>
    <row r="184" spans="1:20" ht="30" customHeight="1" x14ac:dyDescent="0.3">
      <c r="A184" s="228"/>
      <c r="B184" s="47"/>
      <c r="C184" s="438"/>
      <c r="D184" s="439"/>
      <c r="E184" s="440"/>
      <c r="F184" s="420"/>
      <c r="G184" s="441"/>
      <c r="H184" s="420"/>
      <c r="I184" s="442"/>
      <c r="J184" s="420"/>
      <c r="K184" s="443"/>
      <c r="L184" s="420"/>
      <c r="M184" s="444"/>
      <c r="N184" s="376"/>
      <c r="O184" s="229"/>
      <c r="P184"/>
      <c r="Q184"/>
      <c r="T184"/>
    </row>
    <row r="185" spans="1:20" ht="30" customHeight="1" x14ac:dyDescent="0.3">
      <c r="A185" s="228"/>
      <c r="B185" s="47"/>
      <c r="C185" s="382" t="s">
        <v>515</v>
      </c>
      <c r="D185" s="11">
        <f>D181</f>
        <v>10</v>
      </c>
      <c r="E185" s="2" t="s">
        <v>516</v>
      </c>
      <c r="F185" s="420"/>
      <c r="G185" s="382" t="s">
        <v>517</v>
      </c>
      <c r="H185" s="3">
        <v>143</v>
      </c>
      <c r="I185" s="2" t="s">
        <v>518</v>
      </c>
      <c r="J185" s="420"/>
      <c r="K185" s="21" t="s">
        <v>519</v>
      </c>
      <c r="L185" s="445">
        <f>D194/H195</f>
        <v>53971.333333333336</v>
      </c>
      <c r="M185" s="2" t="s">
        <v>520</v>
      </c>
      <c r="N185" s="376"/>
      <c r="O185" s="229"/>
      <c r="P185"/>
      <c r="Q185"/>
      <c r="T185"/>
    </row>
    <row r="186" spans="1:20" ht="37.5" customHeight="1" x14ac:dyDescent="0.3">
      <c r="A186" s="228"/>
      <c r="B186" s="47"/>
      <c r="C186" s="382" t="s">
        <v>521</v>
      </c>
      <c r="D186" s="11" t="s">
        <v>96</v>
      </c>
      <c r="E186" s="2" t="s">
        <v>522</v>
      </c>
      <c r="F186" s="420"/>
      <c r="G186" s="382" t="s">
        <v>523</v>
      </c>
      <c r="H186" s="11">
        <f>D188</f>
        <v>0.7</v>
      </c>
      <c r="I186" s="2" t="s">
        <v>524</v>
      </c>
      <c r="J186" s="420"/>
      <c r="K186" s="431" t="s">
        <v>569</v>
      </c>
      <c r="L186" s="432">
        <f>L185/D193</f>
        <v>105.82614379084968</v>
      </c>
      <c r="M186" s="349" t="s">
        <v>570</v>
      </c>
      <c r="N186" s="376"/>
      <c r="O186" s="229"/>
      <c r="P186"/>
      <c r="Q186"/>
      <c r="T186"/>
    </row>
    <row r="187" spans="1:20" ht="30" customHeight="1" x14ac:dyDescent="0.3">
      <c r="A187" s="228"/>
      <c r="B187" s="47"/>
      <c r="C187" s="382" t="s">
        <v>526</v>
      </c>
      <c r="D187" s="3">
        <f>xx!J41</f>
        <v>5851</v>
      </c>
      <c r="E187" s="2" t="s">
        <v>527</v>
      </c>
      <c r="F187" s="420"/>
      <c r="G187" s="382" t="s">
        <v>528</v>
      </c>
      <c r="H187" s="11">
        <f>D190</f>
        <v>25</v>
      </c>
      <c r="I187" s="2" t="s">
        <v>518</v>
      </c>
      <c r="J187" s="420"/>
      <c r="K187" s="420"/>
      <c r="L187" s="449"/>
      <c r="M187" s="420"/>
      <c r="N187" s="376"/>
      <c r="O187" s="229"/>
      <c r="P187"/>
      <c r="Q187"/>
      <c r="T187"/>
    </row>
    <row r="188" spans="1:20" ht="30" customHeight="1" x14ac:dyDescent="0.3">
      <c r="A188" s="228"/>
      <c r="B188" s="47"/>
      <c r="C188" s="382" t="s">
        <v>529</v>
      </c>
      <c r="D188" s="11">
        <v>0.7</v>
      </c>
      <c r="E188" s="2" t="s">
        <v>524</v>
      </c>
      <c r="F188" s="420"/>
      <c r="G188" s="382" t="s">
        <v>530</v>
      </c>
      <c r="H188" s="11">
        <f>D191</f>
        <v>65</v>
      </c>
      <c r="I188" s="2" t="s">
        <v>518</v>
      </c>
      <c r="J188" s="420"/>
      <c r="K188" s="420"/>
      <c r="L188" s="449"/>
      <c r="M188" s="420"/>
      <c r="N188" s="376"/>
      <c r="O188" s="229"/>
      <c r="P188"/>
      <c r="Q188"/>
      <c r="T188"/>
    </row>
    <row r="189" spans="1:20" ht="30" customHeight="1" x14ac:dyDescent="0.3">
      <c r="A189" s="228"/>
      <c r="B189" s="47"/>
      <c r="C189" s="382" t="s">
        <v>531</v>
      </c>
      <c r="D189" s="383">
        <v>80</v>
      </c>
      <c r="E189" s="2" t="s">
        <v>532</v>
      </c>
      <c r="F189" s="420"/>
      <c r="G189" s="382" t="s">
        <v>533</v>
      </c>
      <c r="H189" s="11">
        <f>D192</f>
        <v>21</v>
      </c>
      <c r="I189" s="2" t="s">
        <v>534</v>
      </c>
      <c r="J189" s="420"/>
      <c r="K189" s="420"/>
      <c r="L189" s="375"/>
      <c r="M189" s="420"/>
      <c r="N189" s="376"/>
      <c r="O189" s="229"/>
      <c r="P189"/>
      <c r="Q189"/>
      <c r="T189"/>
    </row>
    <row r="190" spans="1:20" ht="30" customHeight="1" x14ac:dyDescent="0.3">
      <c r="A190" s="228"/>
      <c r="B190" s="47"/>
      <c r="C190" s="382" t="s">
        <v>535</v>
      </c>
      <c r="D190" s="11">
        <v>25</v>
      </c>
      <c r="E190" s="2" t="s">
        <v>518</v>
      </c>
      <c r="F190" s="420"/>
      <c r="G190" s="382" t="s">
        <v>536</v>
      </c>
      <c r="H190" s="2">
        <v>400</v>
      </c>
      <c r="I190" s="21" t="s">
        <v>537</v>
      </c>
      <c r="J190" s="420"/>
      <c r="K190" s="420"/>
      <c r="L190" s="420"/>
      <c r="M190" s="420"/>
      <c r="N190" s="376"/>
      <c r="O190" s="229"/>
      <c r="P190"/>
      <c r="Q190"/>
      <c r="T190"/>
    </row>
    <row r="191" spans="1:20" ht="30" customHeight="1" x14ac:dyDescent="0.3">
      <c r="A191" s="228"/>
      <c r="B191" s="47"/>
      <c r="C191" s="382" t="s">
        <v>538</v>
      </c>
      <c r="D191" s="11">
        <f>G181</f>
        <v>65</v>
      </c>
      <c r="E191" s="2" t="s">
        <v>518</v>
      </c>
      <c r="F191" s="420"/>
      <c r="G191" s="2"/>
      <c r="H191" s="21"/>
      <c r="I191" s="21"/>
      <c r="J191" s="420"/>
      <c r="K191" s="420"/>
      <c r="L191" s="420"/>
      <c r="M191" s="420"/>
      <c r="N191" s="376"/>
      <c r="O191" s="229"/>
      <c r="P191"/>
      <c r="Q191"/>
      <c r="T191"/>
    </row>
    <row r="192" spans="1:20" ht="30" customHeight="1" x14ac:dyDescent="0.3">
      <c r="A192" s="228"/>
      <c r="B192" s="47"/>
      <c r="C192" s="382" t="s">
        <v>539</v>
      </c>
      <c r="D192" s="11">
        <v>21</v>
      </c>
      <c r="E192" s="2" t="s">
        <v>534</v>
      </c>
      <c r="F192" s="420"/>
      <c r="G192" s="389" t="s">
        <v>540</v>
      </c>
      <c r="H192" s="390">
        <f>(((D187*D188)/(H189*H190))*(LN((H185-H187)/(H185-H188))))</f>
        <v>0.20184769939898359</v>
      </c>
      <c r="I192" s="389" t="s">
        <v>541</v>
      </c>
      <c r="J192" s="420"/>
      <c r="K192" s="420"/>
      <c r="L192" s="420"/>
      <c r="M192" s="420"/>
      <c r="N192" s="376"/>
      <c r="O192" s="229"/>
      <c r="P192"/>
      <c r="Q192"/>
      <c r="T192"/>
    </row>
    <row r="193" spans="1:20" ht="30" customHeight="1" x14ac:dyDescent="0.3">
      <c r="A193" s="228"/>
      <c r="B193" s="47"/>
      <c r="C193" s="382" t="s">
        <v>571</v>
      </c>
      <c r="D193" s="11">
        <v>510</v>
      </c>
      <c r="E193" s="2" t="s">
        <v>572</v>
      </c>
      <c r="F193" s="420"/>
      <c r="G193" s="670" t="s">
        <v>567</v>
      </c>
      <c r="H193" s="671"/>
      <c r="I193" s="672"/>
      <c r="J193" s="420"/>
      <c r="K193" s="420"/>
      <c r="L193" s="420"/>
      <c r="M193" s="420"/>
      <c r="N193" s="376"/>
      <c r="O193" s="229"/>
      <c r="P193"/>
      <c r="Q193"/>
      <c r="T193"/>
    </row>
    <row r="194" spans="1:20" ht="30" customHeight="1" x14ac:dyDescent="0.3">
      <c r="A194" s="228"/>
      <c r="B194" s="47"/>
      <c r="C194" s="392" t="s">
        <v>573</v>
      </c>
      <c r="D194" s="393">
        <f>(((D187*D188*(D191-D190)))+(D187*D189*K181))</f>
        <v>323828</v>
      </c>
      <c r="E194" s="389" t="s">
        <v>543</v>
      </c>
      <c r="F194" s="420"/>
      <c r="G194" s="398" t="s">
        <v>568</v>
      </c>
      <c r="H194" s="399">
        <v>360</v>
      </c>
      <c r="I194" s="400" t="s">
        <v>546</v>
      </c>
      <c r="J194" s="420"/>
      <c r="K194" s="420"/>
      <c r="L194" s="420"/>
      <c r="M194" s="420"/>
      <c r="N194" s="376"/>
      <c r="O194" s="229"/>
      <c r="P194"/>
      <c r="Q194"/>
      <c r="T194"/>
    </row>
    <row r="195" spans="1:20" ht="30" customHeight="1" x14ac:dyDescent="0.3">
      <c r="A195" s="228"/>
      <c r="B195" s="47"/>
      <c r="C195"/>
      <c r="D195"/>
      <c r="E195"/>
      <c r="F195"/>
      <c r="G195" s="468" t="s">
        <v>568</v>
      </c>
      <c r="H195" s="469">
        <f>H194/60</f>
        <v>6</v>
      </c>
      <c r="I195" s="470" t="s">
        <v>541</v>
      </c>
      <c r="J195" s="379"/>
      <c r="K195" s="388"/>
      <c r="L195" s="401"/>
      <c r="M195" s="401"/>
      <c r="N195" s="381"/>
      <c r="O195" s="229"/>
      <c r="P195"/>
      <c r="Q195"/>
      <c r="T195"/>
    </row>
    <row r="196" spans="1:20" ht="30" customHeight="1" thickBot="1" x14ac:dyDescent="0.35">
      <c r="A196" s="228"/>
      <c r="B196" s="402"/>
      <c r="C196" s="458"/>
      <c r="D196" s="405"/>
      <c r="E196" s="405"/>
      <c r="F196" s="458"/>
      <c r="G196" s="220"/>
      <c r="H196" s="220"/>
      <c r="I196" s="220"/>
      <c r="J196" s="458"/>
      <c r="K196" s="459"/>
      <c r="L196" s="460"/>
      <c r="M196" s="460"/>
      <c r="N196" s="461"/>
      <c r="O196" s="229"/>
      <c r="P196"/>
      <c r="Q196"/>
      <c r="T196"/>
    </row>
    <row r="197" spans="1:20" ht="58.05" customHeight="1" x14ac:dyDescent="0.3">
      <c r="A197" s="228"/>
      <c r="B197" s="365" t="s">
        <v>498</v>
      </c>
      <c r="C197" s="366" t="s">
        <v>499</v>
      </c>
      <c r="D197" s="366" t="s">
        <v>500</v>
      </c>
      <c r="E197" s="366" t="s">
        <v>501</v>
      </c>
      <c r="F197" s="366" t="s">
        <v>502</v>
      </c>
      <c r="G197" s="366" t="s">
        <v>574</v>
      </c>
      <c r="H197" s="366" t="s">
        <v>504</v>
      </c>
      <c r="I197" s="366" t="s">
        <v>505</v>
      </c>
      <c r="J197" s="366" t="s">
        <v>506</v>
      </c>
      <c r="K197" s="366" t="s">
        <v>507</v>
      </c>
      <c r="L197" s="366" t="s">
        <v>562</v>
      </c>
      <c r="M197" s="679" t="s">
        <v>563</v>
      </c>
      <c r="N197" s="680"/>
      <c r="O197" s="229"/>
      <c r="P197"/>
      <c r="Q197"/>
      <c r="T197"/>
    </row>
    <row r="198" spans="1:20" ht="30" customHeight="1" thickBot="1" x14ac:dyDescent="0.35">
      <c r="A198" s="228"/>
      <c r="B198" s="369">
        <v>22</v>
      </c>
      <c r="C198" s="222" t="s">
        <v>555</v>
      </c>
      <c r="D198" s="222">
        <v>10</v>
      </c>
      <c r="E198" s="212" t="s">
        <v>511</v>
      </c>
      <c r="F198" s="222" t="s">
        <v>96</v>
      </c>
      <c r="G198" s="222">
        <v>65</v>
      </c>
      <c r="H198" s="456" t="e">
        <f>(#REF!/#REF!)/#REF!</f>
        <v>#REF!</v>
      </c>
      <c r="I198" s="212" t="s">
        <v>96</v>
      </c>
      <c r="J198" s="212" t="s">
        <v>96</v>
      </c>
      <c r="K198" s="457">
        <f>xx!I44/xx!J43</f>
        <v>0.28564009348221242</v>
      </c>
      <c r="L198" s="371">
        <f>H212</f>
        <v>2</v>
      </c>
      <c r="M198" s="710">
        <f>L203</f>
        <v>24.64345904552421</v>
      </c>
      <c r="N198" s="711"/>
      <c r="O198" s="229"/>
      <c r="P198"/>
      <c r="Q198"/>
      <c r="T198"/>
    </row>
    <row r="199" spans="1:20" ht="30" customHeight="1" x14ac:dyDescent="0.3">
      <c r="A199" s="228"/>
      <c r="B199" s="683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9"/>
      <c r="O199" s="229"/>
      <c r="P199"/>
      <c r="Q199"/>
      <c r="T199"/>
    </row>
    <row r="200" spans="1:20" ht="30" customHeight="1" x14ac:dyDescent="0.3">
      <c r="A200" s="228"/>
      <c r="B200" s="47"/>
      <c r="C200" s="673" t="s">
        <v>564</v>
      </c>
      <c r="D200" s="674"/>
      <c r="E200" s="675"/>
      <c r="F200" s="375"/>
      <c r="G200" s="673" t="s">
        <v>565</v>
      </c>
      <c r="H200" s="674"/>
      <c r="I200" s="675"/>
      <c r="J200" s="375"/>
      <c r="K200" s="673" t="s">
        <v>566</v>
      </c>
      <c r="L200" s="674"/>
      <c r="M200" s="675"/>
      <c r="N200" s="376"/>
      <c r="O200" s="229"/>
      <c r="P200"/>
      <c r="Q200"/>
      <c r="T200"/>
    </row>
    <row r="201" spans="1:20" ht="30" customHeight="1" x14ac:dyDescent="0.3">
      <c r="A201" s="228"/>
      <c r="B201" s="47"/>
      <c r="C201" s="438"/>
      <c r="D201" s="439"/>
      <c r="E201" s="440"/>
      <c r="F201" s="420"/>
      <c r="G201" s="441"/>
      <c r="H201" s="420"/>
      <c r="I201" s="442"/>
      <c r="J201" s="420"/>
      <c r="K201" s="443"/>
      <c r="L201" s="420"/>
      <c r="M201" s="444"/>
      <c r="N201" s="376"/>
      <c r="O201" s="229"/>
      <c r="P201"/>
      <c r="Q201"/>
      <c r="T201"/>
    </row>
    <row r="202" spans="1:20" ht="30" customHeight="1" x14ac:dyDescent="0.3">
      <c r="A202" s="228"/>
      <c r="B202" s="47"/>
      <c r="C202" s="382" t="s">
        <v>515</v>
      </c>
      <c r="D202" s="11">
        <f>D198</f>
        <v>10</v>
      </c>
      <c r="E202" s="2" t="s">
        <v>516</v>
      </c>
      <c r="F202" s="420"/>
      <c r="G202" s="382" t="s">
        <v>517</v>
      </c>
      <c r="H202" s="3">
        <v>143</v>
      </c>
      <c r="I202" s="2" t="s">
        <v>518</v>
      </c>
      <c r="J202" s="420"/>
      <c r="K202" s="21" t="s">
        <v>519</v>
      </c>
      <c r="L202" s="445">
        <f>D211/H212</f>
        <v>12568.164113217346</v>
      </c>
      <c r="M202" s="2" t="s">
        <v>520</v>
      </c>
      <c r="N202" s="376"/>
      <c r="O202" s="229"/>
      <c r="P202"/>
      <c r="Q202"/>
      <c r="T202"/>
    </row>
    <row r="203" spans="1:20" ht="42.75" customHeight="1" x14ac:dyDescent="0.3">
      <c r="A203" s="228"/>
      <c r="B203" s="47"/>
      <c r="C203" s="382" t="s">
        <v>521</v>
      </c>
      <c r="D203" s="11" t="s">
        <v>96</v>
      </c>
      <c r="E203" s="2" t="s">
        <v>522</v>
      </c>
      <c r="F203" s="420"/>
      <c r="G203" s="382" t="s">
        <v>523</v>
      </c>
      <c r="H203" s="11">
        <f>D205</f>
        <v>0.7</v>
      </c>
      <c r="I203" s="2" t="s">
        <v>524</v>
      </c>
      <c r="J203" s="420"/>
      <c r="K203" s="431" t="s">
        <v>569</v>
      </c>
      <c r="L203" s="462">
        <f>L202/D210</f>
        <v>24.64345904552421</v>
      </c>
      <c r="M203" s="349" t="s">
        <v>570</v>
      </c>
      <c r="N203" s="376"/>
      <c r="O203" s="229"/>
      <c r="P203"/>
      <c r="Q203"/>
      <c r="T203"/>
    </row>
    <row r="204" spans="1:20" ht="30" customHeight="1" x14ac:dyDescent="0.3">
      <c r="A204" s="228"/>
      <c r="B204" s="47"/>
      <c r="C204" s="382" t="s">
        <v>526</v>
      </c>
      <c r="D204" s="3">
        <f>xx!I44</f>
        <v>1100</v>
      </c>
      <c r="E204" s="2" t="s">
        <v>527</v>
      </c>
      <c r="F204" s="420"/>
      <c r="G204" s="382" t="s">
        <v>528</v>
      </c>
      <c r="H204" s="11">
        <f>D207</f>
        <v>65</v>
      </c>
      <c r="I204" s="2" t="s">
        <v>518</v>
      </c>
      <c r="J204" s="420"/>
      <c r="K204" s="420"/>
      <c r="L204" s="449"/>
      <c r="M204" s="420"/>
      <c r="N204" s="376"/>
      <c r="O204" s="229"/>
      <c r="P204"/>
      <c r="Q204"/>
      <c r="T204"/>
    </row>
    <row r="205" spans="1:20" ht="30" customHeight="1" x14ac:dyDescent="0.3">
      <c r="A205" s="228"/>
      <c r="B205" s="47"/>
      <c r="C205" s="382" t="s">
        <v>529</v>
      </c>
      <c r="D205" s="11">
        <v>0.7</v>
      </c>
      <c r="E205" s="2" t="s">
        <v>524</v>
      </c>
      <c r="F205" s="420"/>
      <c r="G205" s="382" t="s">
        <v>530</v>
      </c>
      <c r="H205" s="11">
        <f>D208</f>
        <v>65</v>
      </c>
      <c r="I205" s="2" t="s">
        <v>518</v>
      </c>
      <c r="J205" s="420"/>
      <c r="K205" s="420"/>
      <c r="L205" s="449"/>
      <c r="M205" s="420"/>
      <c r="N205" s="376"/>
      <c r="O205" s="229"/>
      <c r="P205"/>
      <c r="Q205"/>
      <c r="T205"/>
    </row>
    <row r="206" spans="1:20" ht="30" customHeight="1" x14ac:dyDescent="0.3">
      <c r="A206" s="228"/>
      <c r="B206" s="47"/>
      <c r="C206" s="382" t="s">
        <v>531</v>
      </c>
      <c r="D206" s="383">
        <v>80</v>
      </c>
      <c r="E206" s="2" t="s">
        <v>532</v>
      </c>
      <c r="F206" s="420"/>
      <c r="G206" s="382" t="s">
        <v>533</v>
      </c>
      <c r="H206" s="11">
        <f>D209</f>
        <v>21</v>
      </c>
      <c r="I206" s="2" t="s">
        <v>534</v>
      </c>
      <c r="J206" s="420"/>
      <c r="K206" s="420"/>
      <c r="L206" s="375"/>
      <c r="M206" s="420"/>
      <c r="N206" s="376"/>
      <c r="O206" s="229"/>
      <c r="P206"/>
      <c r="Q206"/>
      <c r="T206"/>
    </row>
    <row r="207" spans="1:20" ht="30" customHeight="1" x14ac:dyDescent="0.3">
      <c r="A207" s="228"/>
      <c r="B207" s="47"/>
      <c r="C207" s="382" t="s">
        <v>535</v>
      </c>
      <c r="D207" s="11">
        <v>65</v>
      </c>
      <c r="E207" s="2" t="s">
        <v>518</v>
      </c>
      <c r="F207" s="420"/>
      <c r="G207" s="382" t="s">
        <v>536</v>
      </c>
      <c r="H207" s="2">
        <v>400</v>
      </c>
      <c r="I207" s="21" t="s">
        <v>537</v>
      </c>
      <c r="J207" s="420"/>
      <c r="K207" s="420"/>
      <c r="L207" s="420"/>
      <c r="M207" s="420"/>
      <c r="N207" s="376"/>
      <c r="O207" s="229"/>
      <c r="P207"/>
      <c r="Q207"/>
      <c r="T207"/>
    </row>
    <row r="208" spans="1:20" ht="30" customHeight="1" x14ac:dyDescent="0.3">
      <c r="A208" s="228"/>
      <c r="B208" s="47"/>
      <c r="C208" s="382" t="s">
        <v>538</v>
      </c>
      <c r="D208" s="11">
        <v>65</v>
      </c>
      <c r="E208" s="2" t="s">
        <v>518</v>
      </c>
      <c r="F208" s="420"/>
      <c r="G208" s="2"/>
      <c r="H208" s="21"/>
      <c r="I208" s="21"/>
      <c r="J208" s="420"/>
      <c r="K208" s="420"/>
      <c r="L208" s="420"/>
      <c r="M208" s="420"/>
      <c r="N208" s="376"/>
      <c r="O208" s="229"/>
      <c r="P208"/>
      <c r="Q208"/>
      <c r="T208"/>
    </row>
    <row r="209" spans="1:20" ht="30" customHeight="1" x14ac:dyDescent="0.3">
      <c r="A209" s="228"/>
      <c r="B209" s="47"/>
      <c r="C209" s="382" t="s">
        <v>539</v>
      </c>
      <c r="D209" s="11">
        <v>21</v>
      </c>
      <c r="E209" s="2" t="s">
        <v>534</v>
      </c>
      <c r="F209" s="420"/>
      <c r="G209" s="389" t="s">
        <v>540</v>
      </c>
      <c r="H209" s="432" t="e">
        <f>((D204*D206*H198)/(H206*H207*(H202-D208)))</f>
        <v>#REF!</v>
      </c>
      <c r="I209" s="389" t="s">
        <v>541</v>
      </c>
      <c r="J209" s="420"/>
      <c r="K209" s="420"/>
      <c r="L209" s="420"/>
      <c r="M209" s="420"/>
      <c r="N209" s="376"/>
      <c r="O209" s="229"/>
      <c r="P209"/>
      <c r="Q209"/>
      <c r="T209"/>
    </row>
    <row r="210" spans="1:20" ht="30" customHeight="1" x14ac:dyDescent="0.3">
      <c r="A210" s="228"/>
      <c r="B210" s="47"/>
      <c r="C210" s="382" t="s">
        <v>571</v>
      </c>
      <c r="D210" s="11">
        <v>510</v>
      </c>
      <c r="E210" s="2" t="s">
        <v>572</v>
      </c>
      <c r="F210" s="420"/>
      <c r="G210" s="670" t="s">
        <v>567</v>
      </c>
      <c r="H210" s="671"/>
      <c r="I210" s="672"/>
      <c r="J210" s="420"/>
      <c r="K210" s="420"/>
      <c r="L210" s="420"/>
      <c r="M210" s="420"/>
      <c r="N210" s="376"/>
      <c r="O210" s="229"/>
      <c r="P210"/>
      <c r="Q210"/>
      <c r="T210"/>
    </row>
    <row r="211" spans="1:20" ht="30" customHeight="1" x14ac:dyDescent="0.3">
      <c r="A211" s="228"/>
      <c r="B211" s="47"/>
      <c r="C211" s="392" t="s">
        <v>573</v>
      </c>
      <c r="D211" s="393">
        <f>(((D204*D205*(D208-D207))) + (D204*D206*K198))</f>
        <v>25136.328226434693</v>
      </c>
      <c r="E211" s="389" t="s">
        <v>543</v>
      </c>
      <c r="F211" s="420"/>
      <c r="G211" s="398" t="s">
        <v>568</v>
      </c>
      <c r="H211" s="399">
        <v>120</v>
      </c>
      <c r="I211" s="400" t="s">
        <v>546</v>
      </c>
      <c r="J211" s="420"/>
      <c r="K211" s="420"/>
      <c r="L211" s="420"/>
      <c r="M211" s="420"/>
      <c r="N211" s="376"/>
      <c r="O211" s="229"/>
      <c r="P211"/>
      <c r="Q211"/>
      <c r="T211"/>
    </row>
    <row r="212" spans="1:20" ht="30" customHeight="1" x14ac:dyDescent="0.3">
      <c r="A212" s="228"/>
      <c r="B212" s="47"/>
      <c r="C212" s="379"/>
      <c r="D212" s="375"/>
      <c r="E212" s="379"/>
      <c r="F212" s="379"/>
      <c r="G212" s="398" t="s">
        <v>568</v>
      </c>
      <c r="H212" s="463">
        <f>H211/60</f>
        <v>2</v>
      </c>
      <c r="I212" s="400" t="s">
        <v>541</v>
      </c>
      <c r="J212" s="379"/>
      <c r="K212" s="388"/>
      <c r="L212" s="401"/>
      <c r="M212" s="401"/>
      <c r="N212" s="381"/>
      <c r="O212" s="229"/>
      <c r="P212"/>
      <c r="Q212"/>
      <c r="T212"/>
    </row>
    <row r="213" spans="1:20" ht="30" customHeight="1" x14ac:dyDescent="0.3">
      <c r="A213" s="228"/>
      <c r="B213" s="47"/>
      <c r="C213" s="379"/>
      <c r="D213" s="375"/>
      <c r="E213" s="379"/>
      <c r="F213" s="379"/>
      <c r="G213" s="422"/>
      <c r="H213" s="423"/>
      <c r="I213" s="424"/>
      <c r="J213" s="379"/>
      <c r="K213" s="388"/>
      <c r="L213" s="401"/>
      <c r="M213" s="401"/>
      <c r="N213" s="381"/>
      <c r="O213" s="229"/>
      <c r="P213"/>
      <c r="Q213"/>
      <c r="T213"/>
    </row>
    <row r="214" spans="1:20" ht="30" customHeight="1" thickBot="1" x14ac:dyDescent="0.35">
      <c r="A214" s="228"/>
      <c r="B214" s="402"/>
      <c r="C214" s="458"/>
      <c r="D214" s="405"/>
      <c r="E214" s="458"/>
      <c r="F214" s="458"/>
      <c r="G214" s="220"/>
      <c r="H214" s="220"/>
      <c r="I214" s="220"/>
      <c r="J214" s="458"/>
      <c r="K214" s="459"/>
      <c r="L214" s="460"/>
      <c r="M214" s="460"/>
      <c r="N214" s="461"/>
      <c r="O214" s="229"/>
      <c r="P214"/>
      <c r="Q214"/>
      <c r="T214"/>
    </row>
    <row r="215" spans="1:20" s="303" customFormat="1" ht="62.25" customHeight="1" x14ac:dyDescent="0.3">
      <c r="A215" s="364"/>
      <c r="B215" s="365" t="s">
        <v>498</v>
      </c>
      <c r="C215" s="366" t="s">
        <v>499</v>
      </c>
      <c r="D215" s="366" t="s">
        <v>500</v>
      </c>
      <c r="E215" s="366" t="s">
        <v>501</v>
      </c>
      <c r="F215" s="366" t="s">
        <v>502</v>
      </c>
      <c r="G215" s="366" t="s">
        <v>503</v>
      </c>
      <c r="H215" s="366" t="s">
        <v>504</v>
      </c>
      <c r="I215" s="366" t="s">
        <v>505</v>
      </c>
      <c r="J215" s="366" t="s">
        <v>506</v>
      </c>
      <c r="K215" s="366" t="s">
        <v>507</v>
      </c>
      <c r="L215" s="366" t="s">
        <v>575</v>
      </c>
      <c r="M215" s="679" t="s">
        <v>576</v>
      </c>
      <c r="N215" s="680"/>
      <c r="O215" s="367"/>
      <c r="T215" s="368"/>
    </row>
    <row r="216" spans="1:20" ht="36.75" customHeight="1" thickBot="1" x14ac:dyDescent="0.35">
      <c r="A216" s="228"/>
      <c r="B216" s="369">
        <v>23</v>
      </c>
      <c r="C216" s="239" t="s">
        <v>555</v>
      </c>
      <c r="D216" s="212">
        <v>10</v>
      </c>
      <c r="E216" s="212" t="s">
        <v>511</v>
      </c>
      <c r="F216" s="222" t="s">
        <v>96</v>
      </c>
      <c r="G216" s="222">
        <v>30</v>
      </c>
      <c r="H216" s="370" t="s">
        <v>96</v>
      </c>
      <c r="I216" s="212" t="s">
        <v>96</v>
      </c>
      <c r="J216" s="212" t="s">
        <v>96</v>
      </c>
      <c r="K216" s="222" t="s">
        <v>96</v>
      </c>
      <c r="L216" s="371">
        <f>H227+H244</f>
        <v>1.8720801100010578</v>
      </c>
      <c r="M216" s="681">
        <f>L221</f>
        <v>23.9</v>
      </c>
      <c r="N216" s="682"/>
      <c r="O216" s="229"/>
      <c r="P216"/>
      <c r="Q216"/>
    </row>
    <row r="217" spans="1:20" ht="30" customHeight="1" x14ac:dyDescent="0.3">
      <c r="A217" s="228"/>
      <c r="B217" s="683"/>
      <c r="C217" s="628"/>
      <c r="D217" s="628"/>
      <c r="E217" s="628"/>
      <c r="F217" s="628"/>
      <c r="G217" s="628"/>
      <c r="H217" s="628"/>
      <c r="I217" s="628"/>
      <c r="J217" s="628"/>
      <c r="K217" s="628"/>
      <c r="L217" s="628"/>
      <c r="M217" s="628"/>
      <c r="N217" s="629"/>
      <c r="O217" s="346"/>
      <c r="P217"/>
      <c r="Q217"/>
      <c r="T217"/>
    </row>
    <row r="218" spans="1:20" ht="30" customHeight="1" x14ac:dyDescent="0.3">
      <c r="A218" s="228"/>
      <c r="B218" s="47"/>
      <c r="C218" s="673" t="s">
        <v>577</v>
      </c>
      <c r="D218" s="674"/>
      <c r="E218" s="675"/>
      <c r="F218" s="375"/>
      <c r="G218" s="673" t="s">
        <v>578</v>
      </c>
      <c r="H218" s="674"/>
      <c r="I218" s="675"/>
      <c r="J218" s="375"/>
      <c r="K218" s="673" t="s">
        <v>579</v>
      </c>
      <c r="L218" s="674"/>
      <c r="M218" s="675"/>
      <c r="N218" s="376"/>
      <c r="O218" s="346"/>
      <c r="P218"/>
      <c r="Q218"/>
      <c r="T218"/>
    </row>
    <row r="219" spans="1:20" ht="30" customHeight="1" x14ac:dyDescent="0.3">
      <c r="A219" s="228"/>
      <c r="B219" s="47"/>
      <c r="C219" s="377"/>
      <c r="D219" s="11"/>
      <c r="E219" s="378"/>
      <c r="F219" s="379"/>
      <c r="G219" s="380"/>
      <c r="H219" s="380"/>
      <c r="I219" s="380"/>
      <c r="J219" s="379"/>
      <c r="K219" s="378"/>
      <c r="L219" s="2"/>
      <c r="M219" s="378"/>
      <c r="N219" s="381"/>
      <c r="O219" s="346"/>
      <c r="P219"/>
      <c r="Q219"/>
      <c r="T219"/>
    </row>
    <row r="220" spans="1:20" ht="30" customHeight="1" x14ac:dyDescent="0.3">
      <c r="A220" s="228"/>
      <c r="B220" s="47"/>
      <c r="C220" s="382" t="s">
        <v>515</v>
      </c>
      <c r="D220" s="383">
        <f>D216</f>
        <v>10</v>
      </c>
      <c r="E220" s="2" t="s">
        <v>516</v>
      </c>
      <c r="F220" s="379"/>
      <c r="G220" s="382" t="s">
        <v>517</v>
      </c>
      <c r="H220" s="3">
        <v>32</v>
      </c>
      <c r="I220" s="2" t="s">
        <v>518</v>
      </c>
      <c r="J220" s="379"/>
      <c r="K220" s="21" t="s">
        <v>519</v>
      </c>
      <c r="L220" s="163">
        <f>D228/H230</f>
        <v>83142.5</v>
      </c>
      <c r="M220" s="2" t="s">
        <v>520</v>
      </c>
      <c r="N220" s="381"/>
      <c r="O220" s="346"/>
      <c r="P220"/>
      <c r="Q220"/>
      <c r="T220"/>
    </row>
    <row r="221" spans="1:20" ht="30" customHeight="1" x14ac:dyDescent="0.3">
      <c r="A221" s="228"/>
      <c r="B221" s="47"/>
      <c r="C221" s="382" t="s">
        <v>521</v>
      </c>
      <c r="D221" s="11" t="s">
        <v>96</v>
      </c>
      <c r="E221" s="2" t="s">
        <v>522</v>
      </c>
      <c r="F221" s="379"/>
      <c r="G221" s="382" t="s">
        <v>523</v>
      </c>
      <c r="H221" s="11">
        <f>D223</f>
        <v>0.7</v>
      </c>
      <c r="I221" s="2" t="s">
        <v>524</v>
      </c>
      <c r="J221" s="379"/>
      <c r="K221" s="431" t="s">
        <v>604</v>
      </c>
      <c r="L221" s="385">
        <f>IF(L220/5/1000&lt;23.9,23.9,L220/5/1000)</f>
        <v>23.9</v>
      </c>
      <c r="M221" s="133" t="s">
        <v>525</v>
      </c>
      <c r="N221" s="381"/>
      <c r="O221" s="346"/>
      <c r="P221"/>
      <c r="Q221"/>
      <c r="T221"/>
    </row>
    <row r="222" spans="1:20" ht="30" customHeight="1" x14ac:dyDescent="0.3">
      <c r="A222" s="228"/>
      <c r="B222" s="47"/>
      <c r="C222" s="382" t="s">
        <v>526</v>
      </c>
      <c r="D222" s="11">
        <f>xx!J45</f>
        <v>4751</v>
      </c>
      <c r="E222" s="2" t="s">
        <v>527</v>
      </c>
      <c r="F222" s="379"/>
      <c r="G222" s="382" t="s">
        <v>528</v>
      </c>
      <c r="H222" s="11">
        <f>D225</f>
        <v>65</v>
      </c>
      <c r="I222" s="2" t="s">
        <v>518</v>
      </c>
      <c r="J222" s="379"/>
      <c r="K222" s="382" t="s">
        <v>601</v>
      </c>
      <c r="L222" s="11">
        <f>L220/5/1000</f>
        <v>16.628499999999999</v>
      </c>
      <c r="M222" s="387"/>
      <c r="N222" s="381"/>
      <c r="O222" s="346"/>
      <c r="P222"/>
      <c r="Q222"/>
      <c r="T222"/>
    </row>
    <row r="223" spans="1:20" ht="30" customHeight="1" x14ac:dyDescent="0.3">
      <c r="A223" s="228"/>
      <c r="B223" s="47"/>
      <c r="C223" s="382" t="s">
        <v>529</v>
      </c>
      <c r="D223" s="11">
        <v>0.7</v>
      </c>
      <c r="E223" s="2" t="s">
        <v>524</v>
      </c>
      <c r="F223" s="379"/>
      <c r="G223" s="382" t="s">
        <v>530</v>
      </c>
      <c r="H223" s="11">
        <f>D226</f>
        <v>40</v>
      </c>
      <c r="I223" s="2" t="s">
        <v>518</v>
      </c>
      <c r="J223" s="379"/>
      <c r="K223" s="455"/>
      <c r="L223" s="464"/>
      <c r="M223" s="464"/>
      <c r="N223" s="381"/>
      <c r="O223" s="346"/>
      <c r="P223"/>
      <c r="Q223"/>
      <c r="T223"/>
    </row>
    <row r="224" spans="1:20" ht="30" customHeight="1" x14ac:dyDescent="0.3">
      <c r="A224" s="228"/>
      <c r="B224" s="47"/>
      <c r="C224" s="382" t="s">
        <v>531</v>
      </c>
      <c r="D224" s="383" t="s">
        <v>96</v>
      </c>
      <c r="E224" s="2" t="s">
        <v>532</v>
      </c>
      <c r="F224" s="379"/>
      <c r="G224" s="382" t="s">
        <v>533</v>
      </c>
      <c r="H224" s="2">
        <f>D227</f>
        <v>21</v>
      </c>
      <c r="I224" s="2" t="s">
        <v>534</v>
      </c>
      <c r="J224" s="379"/>
      <c r="K224" s="464"/>
      <c r="L224" s="464"/>
      <c r="M224" s="464"/>
      <c r="N224" s="381"/>
      <c r="O224" s="346"/>
      <c r="P224"/>
      <c r="Q224"/>
      <c r="T224"/>
    </row>
    <row r="225" spans="1:20" ht="30" customHeight="1" x14ac:dyDescent="0.3">
      <c r="A225" s="228"/>
      <c r="B225" s="47"/>
      <c r="C225" s="382" t="s">
        <v>535</v>
      </c>
      <c r="D225" s="11">
        <v>65</v>
      </c>
      <c r="E225" s="2" t="s">
        <v>518</v>
      </c>
      <c r="F225" s="379"/>
      <c r="G225" s="382" t="s">
        <v>536</v>
      </c>
      <c r="H225" s="2">
        <v>200</v>
      </c>
      <c r="I225" s="21" t="s">
        <v>537</v>
      </c>
      <c r="J225" s="379"/>
      <c r="K225" s="379"/>
      <c r="L225" s="375"/>
      <c r="M225" s="379"/>
      <c r="N225" s="381"/>
      <c r="O225" s="346"/>
      <c r="P225"/>
      <c r="Q225"/>
      <c r="T225"/>
    </row>
    <row r="226" spans="1:20" ht="30" customHeight="1" x14ac:dyDescent="0.3">
      <c r="A226" s="228"/>
      <c r="B226" s="47"/>
      <c r="C226" s="382" t="s">
        <v>538</v>
      </c>
      <c r="D226" s="11">
        <v>40</v>
      </c>
      <c r="E226" s="2" t="s">
        <v>518</v>
      </c>
      <c r="F226" s="379"/>
      <c r="G226" s="2"/>
      <c r="H226" s="21"/>
      <c r="I226" s="21"/>
      <c r="J226" s="379"/>
      <c r="K226" s="379"/>
      <c r="L226" s="375"/>
      <c r="M226" s="379"/>
      <c r="N226" s="381"/>
      <c r="O226" s="346"/>
      <c r="P226"/>
      <c r="Q226"/>
      <c r="T226"/>
    </row>
    <row r="227" spans="1:20" ht="30" customHeight="1" x14ac:dyDescent="0.3">
      <c r="A227" s="228"/>
      <c r="B227" s="47"/>
      <c r="C227" s="382" t="s">
        <v>539</v>
      </c>
      <c r="D227" s="2">
        <v>21</v>
      </c>
      <c r="E227" s="378" t="s">
        <v>534</v>
      </c>
      <c r="F227" s="379"/>
      <c r="G227" s="389" t="s">
        <v>540</v>
      </c>
      <c r="H227" s="390">
        <f>((D222*D223)/(H224*H225))*(LN((H222-H220)/(H223-H220)))</f>
        <v>1.1220801100010578</v>
      </c>
      <c r="I227" s="389" t="s">
        <v>541</v>
      </c>
      <c r="J227" s="379"/>
      <c r="K227" s="388"/>
      <c r="L227" s="391"/>
      <c r="M227" s="388"/>
      <c r="N227" s="381"/>
      <c r="O227" s="346"/>
      <c r="P227"/>
      <c r="Q227"/>
      <c r="T227"/>
    </row>
    <row r="228" spans="1:20" ht="30" customHeight="1" x14ac:dyDescent="0.3">
      <c r="A228" s="228"/>
      <c r="B228" s="47"/>
      <c r="C228" s="392" t="s">
        <v>573</v>
      </c>
      <c r="D228" s="393">
        <f>D222*D223*(D225-D226)</f>
        <v>83142.5</v>
      </c>
      <c r="E228" s="389" t="s">
        <v>543</v>
      </c>
      <c r="F228" s="379"/>
      <c r="G228" s="670" t="s">
        <v>544</v>
      </c>
      <c r="H228" s="671"/>
      <c r="I228" s="672"/>
      <c r="J228" s="379"/>
      <c r="K228" s="388"/>
      <c r="L228" s="397"/>
      <c r="M228" s="388"/>
      <c r="N228" s="381"/>
      <c r="O228" s="346"/>
      <c r="P228"/>
      <c r="Q228"/>
      <c r="T228"/>
    </row>
    <row r="229" spans="1:20" ht="30" customHeight="1" x14ac:dyDescent="0.3">
      <c r="A229" s="228"/>
      <c r="B229" s="47"/>
      <c r="C229"/>
      <c r="D229"/>
      <c r="E229"/>
      <c r="F229" s="420"/>
      <c r="G229" s="398" t="s">
        <v>545</v>
      </c>
      <c r="H229" s="399">
        <v>60</v>
      </c>
      <c r="I229" s="400" t="s">
        <v>546</v>
      </c>
      <c r="J229" s="420"/>
      <c r="K229" s="420"/>
      <c r="L229" s="420"/>
      <c r="M229" s="420"/>
      <c r="N229" s="376"/>
      <c r="O229" s="346"/>
      <c r="P229"/>
      <c r="Q229"/>
      <c r="T229"/>
    </row>
    <row r="230" spans="1:20" ht="30" customHeight="1" x14ac:dyDescent="0.3">
      <c r="A230" s="228"/>
      <c r="B230" s="47"/>
      <c r="C230"/>
      <c r="D230"/>
      <c r="E230"/>
      <c r="F230" s="420"/>
      <c r="G230" s="398" t="s">
        <v>545</v>
      </c>
      <c r="H230" s="404">
        <f>H229/60</f>
        <v>1</v>
      </c>
      <c r="I230" s="400" t="s">
        <v>541</v>
      </c>
      <c r="J230" s="420"/>
      <c r="K230" s="420"/>
      <c r="L230" s="420"/>
      <c r="M230" s="420"/>
      <c r="N230" s="376"/>
      <c r="O230" s="346"/>
      <c r="P230"/>
      <c r="Q230"/>
      <c r="T230"/>
    </row>
    <row r="231" spans="1:20" ht="28.5" customHeight="1" x14ac:dyDescent="0.3">
      <c r="A231" s="228"/>
      <c r="B231" s="47"/>
      <c r="N231" s="376"/>
      <c r="O231" s="229"/>
      <c r="P231"/>
      <c r="Q231"/>
      <c r="T231"/>
    </row>
    <row r="232" spans="1:20" ht="28.5" customHeight="1" x14ac:dyDescent="0.3">
      <c r="A232" s="228"/>
      <c r="B232" s="47"/>
      <c r="C232" s="673" t="s">
        <v>512</v>
      </c>
      <c r="D232" s="674"/>
      <c r="E232" s="675"/>
      <c r="F232" s="375"/>
      <c r="G232" s="673" t="s">
        <v>513</v>
      </c>
      <c r="H232" s="674"/>
      <c r="I232" s="675"/>
      <c r="J232" s="375"/>
      <c r="K232" s="673" t="s">
        <v>514</v>
      </c>
      <c r="L232" s="674"/>
      <c r="M232" s="675"/>
      <c r="N232" s="381"/>
      <c r="O232" s="229"/>
      <c r="P232"/>
      <c r="Q232"/>
      <c r="T232"/>
    </row>
    <row r="233" spans="1:20" ht="28.5" customHeight="1" x14ac:dyDescent="0.3">
      <c r="A233" s="228"/>
      <c r="B233" s="47"/>
      <c r="C233" s="377"/>
      <c r="D233" s="11"/>
      <c r="E233" s="378"/>
      <c r="F233" s="379"/>
      <c r="G233" s="380"/>
      <c r="H233" s="380"/>
      <c r="I233" s="380"/>
      <c r="J233" s="379"/>
      <c r="K233" s="378"/>
      <c r="L233" s="2"/>
      <c r="M233" s="378"/>
      <c r="N233" s="381"/>
      <c r="O233" s="229"/>
      <c r="P233"/>
      <c r="Q233"/>
      <c r="T233"/>
    </row>
    <row r="234" spans="1:20" ht="38.549999999999997" customHeight="1" x14ac:dyDescent="0.3">
      <c r="A234" s="228"/>
      <c r="B234" s="47"/>
      <c r="C234" s="382" t="s">
        <v>515</v>
      </c>
      <c r="D234" s="383">
        <f>D216</f>
        <v>10</v>
      </c>
      <c r="E234" s="2" t="s">
        <v>516</v>
      </c>
      <c r="F234" s="379"/>
      <c r="G234" s="382" t="s">
        <v>517</v>
      </c>
      <c r="H234" s="3">
        <v>7</v>
      </c>
      <c r="I234" s="2" t="s">
        <v>518</v>
      </c>
      <c r="J234" s="379"/>
      <c r="K234" s="21" t="s">
        <v>519</v>
      </c>
      <c r="L234" s="163">
        <f>D242/H244</f>
        <v>44342.666666666664</v>
      </c>
      <c r="M234" s="2" t="s">
        <v>520</v>
      </c>
      <c r="N234" s="381"/>
      <c r="O234" s="229"/>
      <c r="P234"/>
      <c r="Q234"/>
      <c r="T234"/>
    </row>
    <row r="235" spans="1:20" ht="28.5" customHeight="1" x14ac:dyDescent="0.3">
      <c r="A235" s="228"/>
      <c r="B235" s="47"/>
      <c r="C235" s="382" t="s">
        <v>521</v>
      </c>
      <c r="D235" s="11" t="s">
        <v>96</v>
      </c>
      <c r="E235" s="2" t="s">
        <v>522</v>
      </c>
      <c r="F235" s="379"/>
      <c r="G235" s="382" t="s">
        <v>523</v>
      </c>
      <c r="H235" s="11">
        <f>D237</f>
        <v>0.7</v>
      </c>
      <c r="I235" s="2" t="s">
        <v>524</v>
      </c>
      <c r="J235" s="379"/>
      <c r="K235" s="431" t="s">
        <v>604</v>
      </c>
      <c r="L235" s="385">
        <f>IF(L234/5/1000&lt;23.9,23.9,L234/5/1000)</f>
        <v>23.9</v>
      </c>
      <c r="M235" s="349" t="s">
        <v>525</v>
      </c>
      <c r="N235" s="381"/>
      <c r="O235" s="229"/>
      <c r="P235"/>
      <c r="Q235"/>
      <c r="T235"/>
    </row>
    <row r="236" spans="1:20" ht="28.5" customHeight="1" x14ac:dyDescent="0.3">
      <c r="A236" s="228"/>
      <c r="B236" s="47"/>
      <c r="C236" s="382" t="s">
        <v>526</v>
      </c>
      <c r="D236" s="11">
        <f>D222</f>
        <v>4751</v>
      </c>
      <c r="E236" s="2" t="s">
        <v>527</v>
      </c>
      <c r="F236" s="379"/>
      <c r="G236" s="382" t="s">
        <v>528</v>
      </c>
      <c r="H236" s="11">
        <f>D239</f>
        <v>40</v>
      </c>
      <c r="I236" s="2" t="s">
        <v>518</v>
      </c>
      <c r="J236" s="379"/>
      <c r="K236" s="382" t="s">
        <v>601</v>
      </c>
      <c r="L236" s="11">
        <f>L234/5/1000</f>
        <v>8.8685333333333336</v>
      </c>
      <c r="M236" s="388"/>
      <c r="N236" s="381"/>
      <c r="O236" s="229"/>
      <c r="P236"/>
      <c r="Q236"/>
      <c r="T236"/>
    </row>
    <row r="237" spans="1:20" ht="28.5" customHeight="1" x14ac:dyDescent="0.3">
      <c r="A237" s="228"/>
      <c r="B237" s="47"/>
      <c r="C237" s="382" t="s">
        <v>529</v>
      </c>
      <c r="D237" s="11">
        <v>0.7</v>
      </c>
      <c r="E237" s="2" t="s">
        <v>524</v>
      </c>
      <c r="F237" s="379"/>
      <c r="G237" s="382" t="s">
        <v>530</v>
      </c>
      <c r="H237" s="11">
        <f>D240</f>
        <v>30</v>
      </c>
      <c r="I237" s="2" t="s">
        <v>518</v>
      </c>
      <c r="J237" s="379"/>
      <c r="K237" s="455"/>
      <c r="L237" s="455"/>
      <c r="M237" s="455"/>
      <c r="N237" s="381"/>
      <c r="O237" s="229"/>
      <c r="P237"/>
      <c r="Q237"/>
      <c r="T237"/>
    </row>
    <row r="238" spans="1:20" ht="28.5" customHeight="1" x14ac:dyDescent="0.3">
      <c r="A238" s="228"/>
      <c r="B238" s="47"/>
      <c r="C238" s="382" t="s">
        <v>531</v>
      </c>
      <c r="D238" s="383" t="s">
        <v>96</v>
      </c>
      <c r="E238" s="2" t="s">
        <v>532</v>
      </c>
      <c r="F238" s="379"/>
      <c r="G238" s="382" t="s">
        <v>533</v>
      </c>
      <c r="H238" s="2">
        <f>D241</f>
        <v>21</v>
      </c>
      <c r="I238" s="2" t="s">
        <v>534</v>
      </c>
      <c r="J238" s="379"/>
      <c r="K238" s="455"/>
      <c r="L238" s="455"/>
      <c r="M238" s="455"/>
      <c r="N238" s="381"/>
      <c r="O238" s="229"/>
      <c r="P238"/>
      <c r="Q238"/>
      <c r="T238"/>
    </row>
    <row r="239" spans="1:20" ht="28.5" customHeight="1" x14ac:dyDescent="0.3">
      <c r="A239" s="228"/>
      <c r="B239" s="47"/>
      <c r="C239" s="382" t="s">
        <v>535</v>
      </c>
      <c r="D239" s="11">
        <v>40</v>
      </c>
      <c r="E239" s="2" t="s">
        <v>518</v>
      </c>
      <c r="F239" s="379"/>
      <c r="G239" s="382" t="s">
        <v>536</v>
      </c>
      <c r="H239" s="2">
        <v>250</v>
      </c>
      <c r="I239" s="21" t="s">
        <v>537</v>
      </c>
      <c r="J239" s="379"/>
      <c r="K239" s="379"/>
      <c r="L239" s="375"/>
      <c r="M239" s="379"/>
      <c r="N239" s="381"/>
      <c r="O239" s="229"/>
      <c r="P239"/>
      <c r="Q239"/>
      <c r="T239"/>
    </row>
    <row r="240" spans="1:20" ht="28.5" customHeight="1" x14ac:dyDescent="0.3">
      <c r="A240" s="228"/>
      <c r="B240" s="47"/>
      <c r="C240" s="382" t="s">
        <v>538</v>
      </c>
      <c r="D240" s="11">
        <f>30</f>
        <v>30</v>
      </c>
      <c r="E240" s="2" t="s">
        <v>518</v>
      </c>
      <c r="F240" s="379"/>
      <c r="G240" s="2"/>
      <c r="H240" s="21"/>
      <c r="I240" s="21"/>
      <c r="J240" s="379"/>
      <c r="K240" s="379"/>
      <c r="L240" s="375"/>
      <c r="M240" s="379"/>
      <c r="N240" s="381"/>
      <c r="O240" s="229"/>
      <c r="P240"/>
      <c r="Q240"/>
      <c r="T240"/>
    </row>
    <row r="241" spans="1:32" ht="28.5" customHeight="1" x14ac:dyDescent="0.3">
      <c r="A241" s="228"/>
      <c r="B241" s="47"/>
      <c r="C241" s="382" t="s">
        <v>539</v>
      </c>
      <c r="D241" s="2">
        <v>21</v>
      </c>
      <c r="E241" s="378" t="s">
        <v>534</v>
      </c>
      <c r="F241" s="379"/>
      <c r="G241" s="389" t="s">
        <v>540</v>
      </c>
      <c r="H241" s="390">
        <f>((D236*D237)/(H238*H239))*(LN((H236-H234)/(H237-H234)))</f>
        <v>0.22868992061971427</v>
      </c>
      <c r="I241" s="389" t="s">
        <v>541</v>
      </c>
      <c r="J241" s="379"/>
      <c r="K241" s="388"/>
      <c r="L241" s="391"/>
      <c r="M241" s="388"/>
      <c r="N241" s="381"/>
      <c r="O241" s="229"/>
      <c r="P241"/>
      <c r="Q241"/>
      <c r="T241"/>
    </row>
    <row r="242" spans="1:32" ht="28.5" customHeight="1" x14ac:dyDescent="0.3">
      <c r="A242" s="228"/>
      <c r="B242" s="47"/>
      <c r="C242" s="392" t="s">
        <v>542</v>
      </c>
      <c r="D242" s="393">
        <f>D236*D237*(D239-D240)</f>
        <v>33257</v>
      </c>
      <c r="E242" s="389" t="s">
        <v>543</v>
      </c>
      <c r="F242" s="379"/>
      <c r="G242" s="394" t="s">
        <v>544</v>
      </c>
      <c r="H242" s="395"/>
      <c r="I242" s="396"/>
      <c r="J242" s="379"/>
      <c r="K242" s="388"/>
      <c r="L242" s="397"/>
      <c r="M242" s="388"/>
      <c r="N242" s="381"/>
      <c r="O242" s="229"/>
      <c r="P242"/>
      <c r="Q242"/>
      <c r="T242"/>
    </row>
    <row r="243" spans="1:32" ht="28.5" customHeight="1" x14ac:dyDescent="0.3">
      <c r="A243" s="228"/>
      <c r="B243" s="47"/>
      <c r="C243" s="379"/>
      <c r="D243" s="375"/>
      <c r="E243" s="379"/>
      <c r="F243" s="379"/>
      <c r="G243" s="398" t="s">
        <v>545</v>
      </c>
      <c r="H243" s="399">
        <v>45</v>
      </c>
      <c r="I243" s="400" t="s">
        <v>546</v>
      </c>
      <c r="J243" s="379"/>
      <c r="K243" s="388"/>
      <c r="L243" s="401"/>
      <c r="M243" s="401"/>
      <c r="N243" s="381"/>
      <c r="O243" s="229"/>
      <c r="P243"/>
      <c r="Q243"/>
      <c r="T243"/>
    </row>
    <row r="244" spans="1:32" ht="30" customHeight="1" x14ac:dyDescent="0.3">
      <c r="A244" s="228"/>
      <c r="B244" s="47"/>
      <c r="C244" s="379"/>
      <c r="D244" s="375"/>
      <c r="E244" s="379"/>
      <c r="F244" s="379"/>
      <c r="G244" s="398" t="s">
        <v>545</v>
      </c>
      <c r="H244" s="404">
        <f>H243/60</f>
        <v>0.75</v>
      </c>
      <c r="I244" s="400" t="s">
        <v>541</v>
      </c>
      <c r="J244" s="379"/>
      <c r="K244" s="388"/>
      <c r="L244" s="401"/>
      <c r="M244" s="401"/>
      <c r="N244" s="376"/>
      <c r="O244" s="346"/>
      <c r="P244"/>
      <c r="Q244"/>
      <c r="T244"/>
    </row>
    <row r="245" spans="1:32" ht="30" customHeight="1" thickBot="1" x14ac:dyDescent="0.35">
      <c r="A245" s="228"/>
      <c r="B245" s="402"/>
      <c r="C245" s="403"/>
      <c r="D245" s="403"/>
      <c r="E245" s="403"/>
      <c r="F245" s="403"/>
      <c r="G245" s="403"/>
      <c r="H245" s="403"/>
      <c r="I245" s="403"/>
      <c r="J245" s="403"/>
      <c r="K245" s="403"/>
      <c r="L245" s="405"/>
      <c r="M245" s="403"/>
      <c r="N245" s="406"/>
      <c r="O245" s="346"/>
      <c r="P245"/>
      <c r="Q245"/>
      <c r="T245"/>
    </row>
    <row r="246" spans="1:32" ht="55.5" customHeight="1" x14ac:dyDescent="0.3">
      <c r="A246" s="228"/>
      <c r="B246" s="365" t="s">
        <v>498</v>
      </c>
      <c r="C246" s="366" t="s">
        <v>499</v>
      </c>
      <c r="D246" s="366" t="s">
        <v>500</v>
      </c>
      <c r="E246" s="366" t="s">
        <v>501</v>
      </c>
      <c r="F246" s="366" t="s">
        <v>502</v>
      </c>
      <c r="G246" s="366" t="s">
        <v>503</v>
      </c>
      <c r="H246" s="366" t="s">
        <v>504</v>
      </c>
      <c r="I246" s="366" t="s">
        <v>505</v>
      </c>
      <c r="J246" s="366" t="s">
        <v>506</v>
      </c>
      <c r="K246" s="366" t="s">
        <v>507</v>
      </c>
      <c r="L246" s="366" t="s">
        <v>547</v>
      </c>
      <c r="M246" s="679" t="s">
        <v>509</v>
      </c>
      <c r="N246" s="680"/>
      <c r="O246" s="346"/>
      <c r="P246"/>
      <c r="Q246"/>
      <c r="T246"/>
    </row>
    <row r="247" spans="1:32" s="13" customFormat="1" ht="35.25" customHeight="1" thickBot="1" x14ac:dyDescent="0.35">
      <c r="A247" s="407"/>
      <c r="B247" s="369" t="s">
        <v>580</v>
      </c>
      <c r="C247" s="239" t="s">
        <v>555</v>
      </c>
      <c r="D247" s="212">
        <v>10</v>
      </c>
      <c r="E247" s="212" t="s">
        <v>511</v>
      </c>
      <c r="F247" s="222" t="s">
        <v>96</v>
      </c>
      <c r="G247" s="222">
        <v>5</v>
      </c>
      <c r="H247" s="370" t="s">
        <v>96</v>
      </c>
      <c r="I247" s="212" t="s">
        <v>96</v>
      </c>
      <c r="J247" s="212" t="s">
        <v>96</v>
      </c>
      <c r="K247" s="222" t="s">
        <v>96</v>
      </c>
      <c r="L247" s="371">
        <f>H261+H275</f>
        <v>1.75</v>
      </c>
      <c r="M247" s="681">
        <f>L252</f>
        <v>23.9</v>
      </c>
      <c r="N247" s="682"/>
      <c r="O247" s="346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1:32" ht="26.25" customHeight="1" x14ac:dyDescent="0.3">
      <c r="A248" s="228"/>
      <c r="B248" s="683"/>
      <c r="C248" s="628"/>
      <c r="D248" s="628"/>
      <c r="E248" s="628"/>
      <c r="F248" s="628"/>
      <c r="G248" s="628"/>
      <c r="H248" s="628"/>
      <c r="I248" s="628"/>
      <c r="J248" s="628"/>
      <c r="K248" s="628"/>
      <c r="L248" s="628"/>
      <c r="M248" s="628"/>
      <c r="N248" s="629"/>
      <c r="O248" s="346"/>
      <c r="P248"/>
      <c r="Q248"/>
      <c r="T248"/>
    </row>
    <row r="249" spans="1:32" ht="28.5" customHeight="1" x14ac:dyDescent="0.3">
      <c r="A249" s="228"/>
      <c r="B249" s="47"/>
      <c r="C249" s="673" t="s">
        <v>512</v>
      </c>
      <c r="D249" s="674"/>
      <c r="E249" s="675"/>
      <c r="F249" s="375"/>
      <c r="G249" s="673" t="s">
        <v>513</v>
      </c>
      <c r="H249" s="674"/>
      <c r="I249" s="675"/>
      <c r="J249" s="375"/>
      <c r="K249" s="673" t="s">
        <v>514</v>
      </c>
      <c r="L249" s="674"/>
      <c r="M249" s="675"/>
      <c r="N249" s="376"/>
      <c r="O249" s="346"/>
      <c r="P249"/>
      <c r="Q249"/>
      <c r="T249"/>
    </row>
    <row r="250" spans="1:32" ht="24" customHeight="1" x14ac:dyDescent="0.3">
      <c r="A250" s="228"/>
      <c r="B250" s="47"/>
      <c r="C250" s="377"/>
      <c r="D250" s="11"/>
      <c r="E250" s="378"/>
      <c r="F250" s="379"/>
      <c r="G250" s="380"/>
      <c r="H250" s="380"/>
      <c r="I250" s="380"/>
      <c r="J250" s="379"/>
      <c r="K250" s="378"/>
      <c r="L250" s="2"/>
      <c r="M250" s="378"/>
      <c r="N250" s="381"/>
      <c r="O250" s="346"/>
      <c r="P250"/>
      <c r="Q250"/>
      <c r="T250"/>
    </row>
    <row r="251" spans="1:32" ht="32.25" customHeight="1" x14ac:dyDescent="0.3">
      <c r="A251" s="228"/>
      <c r="B251" s="47"/>
      <c r="C251" s="382" t="s">
        <v>515</v>
      </c>
      <c r="D251" s="383">
        <f>D247</f>
        <v>10</v>
      </c>
      <c r="E251" s="2" t="s">
        <v>516</v>
      </c>
      <c r="F251" s="379"/>
      <c r="G251" s="382" t="s">
        <v>517</v>
      </c>
      <c r="H251" s="3">
        <v>7</v>
      </c>
      <c r="I251" s="2" t="s">
        <v>518</v>
      </c>
      <c r="J251" s="379"/>
      <c r="K251" s="21" t="s">
        <v>519</v>
      </c>
      <c r="L251" s="163">
        <f>D259/H261</f>
        <v>66514</v>
      </c>
      <c r="M251" s="2" t="s">
        <v>520</v>
      </c>
      <c r="N251" s="381"/>
      <c r="O251" s="346"/>
      <c r="P251"/>
      <c r="Q251"/>
      <c r="T251"/>
    </row>
    <row r="252" spans="1:32" ht="38.25" customHeight="1" x14ac:dyDescent="0.3">
      <c r="A252" s="228"/>
      <c r="B252" s="47"/>
      <c r="C252" s="382" t="s">
        <v>521</v>
      </c>
      <c r="D252" s="11" t="s">
        <v>96</v>
      </c>
      <c r="E252" s="2" t="s">
        <v>522</v>
      </c>
      <c r="F252" s="379"/>
      <c r="G252" s="382" t="s">
        <v>523</v>
      </c>
      <c r="H252" s="11">
        <f>D254</f>
        <v>0.7</v>
      </c>
      <c r="I252" s="2" t="s">
        <v>524</v>
      </c>
      <c r="J252" s="379"/>
      <c r="K252" s="431" t="s">
        <v>604</v>
      </c>
      <c r="L252" s="385">
        <f>IF(L251/5/1000&lt;23.9,23.9,L251/5/1000)</f>
        <v>23.9</v>
      </c>
      <c r="M252" s="349" t="s">
        <v>525</v>
      </c>
      <c r="N252" s="381"/>
      <c r="O252" s="346"/>
      <c r="P252"/>
      <c r="Q252"/>
      <c r="T252"/>
    </row>
    <row r="253" spans="1:32" ht="30" customHeight="1" x14ac:dyDescent="0.3">
      <c r="A253" s="228"/>
      <c r="B253" s="47"/>
      <c r="C253" s="382" t="s">
        <v>526</v>
      </c>
      <c r="D253" s="11">
        <f>xx!J46</f>
        <v>4751</v>
      </c>
      <c r="E253" s="2" t="s">
        <v>527</v>
      </c>
      <c r="F253" s="379"/>
      <c r="G253" s="382" t="s">
        <v>528</v>
      </c>
      <c r="H253" s="11">
        <f>D256</f>
        <v>30</v>
      </c>
      <c r="I253" s="2" t="s">
        <v>518</v>
      </c>
      <c r="J253" s="379"/>
      <c r="K253" s="382" t="s">
        <v>601</v>
      </c>
      <c r="L253" s="11">
        <f>L251/5/1000</f>
        <v>13.3028</v>
      </c>
      <c r="M253" s="388"/>
      <c r="N253" s="381"/>
      <c r="O253" s="346"/>
      <c r="P253"/>
      <c r="Q253"/>
      <c r="T253"/>
    </row>
    <row r="254" spans="1:32" ht="30" customHeight="1" x14ac:dyDescent="0.3">
      <c r="A254" s="228"/>
      <c r="B254" s="47"/>
      <c r="C254" s="382" t="s">
        <v>529</v>
      </c>
      <c r="D254" s="11">
        <v>0.7</v>
      </c>
      <c r="E254" s="2" t="s">
        <v>524</v>
      </c>
      <c r="F254" s="379"/>
      <c r="G254" s="382" t="s">
        <v>530</v>
      </c>
      <c r="H254" s="11">
        <f>D257</f>
        <v>15</v>
      </c>
      <c r="I254" s="2" t="s">
        <v>518</v>
      </c>
      <c r="J254" s="379"/>
      <c r="K254" s="455"/>
      <c r="L254" s="455"/>
      <c r="M254" s="455"/>
      <c r="N254" s="381"/>
      <c r="O254" s="346"/>
      <c r="P254"/>
      <c r="Q254"/>
      <c r="T254"/>
    </row>
    <row r="255" spans="1:32" ht="30" customHeight="1" x14ac:dyDescent="0.3">
      <c r="A255" s="228"/>
      <c r="B255" s="47"/>
      <c r="C255" s="382" t="s">
        <v>531</v>
      </c>
      <c r="D255" s="383" t="s">
        <v>96</v>
      </c>
      <c r="E255" s="2" t="s">
        <v>532</v>
      </c>
      <c r="F255" s="379"/>
      <c r="G255" s="382" t="s">
        <v>533</v>
      </c>
      <c r="H255" s="2">
        <f>D258</f>
        <v>21</v>
      </c>
      <c r="I255" s="2" t="s">
        <v>534</v>
      </c>
      <c r="J255" s="379"/>
      <c r="K255" s="455"/>
      <c r="L255" s="455"/>
      <c r="M255" s="455"/>
      <c r="N255" s="381"/>
      <c r="O255" s="346"/>
      <c r="P255"/>
      <c r="Q255"/>
      <c r="T255"/>
    </row>
    <row r="256" spans="1:32" ht="30" customHeight="1" x14ac:dyDescent="0.3">
      <c r="A256" s="228"/>
      <c r="B256" s="47"/>
      <c r="C256" s="382" t="s">
        <v>535</v>
      </c>
      <c r="D256" s="11">
        <v>30</v>
      </c>
      <c r="E256" s="2" t="s">
        <v>518</v>
      </c>
      <c r="F256" s="379"/>
      <c r="G256" s="382" t="s">
        <v>536</v>
      </c>
      <c r="H256" s="2">
        <v>175</v>
      </c>
      <c r="I256" s="21" t="s">
        <v>537</v>
      </c>
      <c r="J256" s="379"/>
      <c r="K256" s="379"/>
      <c r="L256" s="375"/>
      <c r="M256" s="379"/>
      <c r="N256" s="381"/>
      <c r="O256" s="346"/>
      <c r="P256"/>
      <c r="Q256"/>
      <c r="T256"/>
    </row>
    <row r="257" spans="1:20" ht="30" customHeight="1" x14ac:dyDescent="0.3">
      <c r="A257" s="228"/>
      <c r="B257" s="47"/>
      <c r="C257" s="382" t="s">
        <v>538</v>
      </c>
      <c r="D257" s="11">
        <v>15</v>
      </c>
      <c r="E257" s="2" t="s">
        <v>518</v>
      </c>
      <c r="F257" s="379"/>
      <c r="G257" s="2"/>
      <c r="H257" s="21"/>
      <c r="I257" s="21"/>
      <c r="J257" s="379"/>
      <c r="K257" s="379"/>
      <c r="L257" s="375"/>
      <c r="M257" s="379"/>
      <c r="N257" s="381"/>
      <c r="O257" s="346"/>
      <c r="P257"/>
      <c r="Q257"/>
      <c r="T257"/>
    </row>
    <row r="258" spans="1:20" ht="30" customHeight="1" x14ac:dyDescent="0.3">
      <c r="A258" s="228"/>
      <c r="B258" s="47"/>
      <c r="C258" s="382" t="s">
        <v>539</v>
      </c>
      <c r="D258" s="2">
        <v>21</v>
      </c>
      <c r="E258" s="2" t="s">
        <v>534</v>
      </c>
      <c r="F258" s="379"/>
      <c r="G258" s="389" t="s">
        <v>540</v>
      </c>
      <c r="H258" s="390">
        <f>((D253*D254)/(H255*H256))*(LN((H253-H251)/(H254-H251)))</f>
        <v>0.95567738197304564</v>
      </c>
      <c r="I258" s="389" t="s">
        <v>541</v>
      </c>
      <c r="J258" s="379"/>
      <c r="K258" s="388"/>
      <c r="L258" s="391"/>
      <c r="M258" s="388"/>
      <c r="N258" s="381"/>
      <c r="O258" s="346"/>
      <c r="P258"/>
      <c r="Q258"/>
      <c r="T258"/>
    </row>
    <row r="259" spans="1:20" ht="30" customHeight="1" x14ac:dyDescent="0.3">
      <c r="A259" s="228"/>
      <c r="B259" s="47"/>
      <c r="C259" s="392" t="s">
        <v>542</v>
      </c>
      <c r="D259" s="393">
        <f>D253*D254*(D256-D257)</f>
        <v>49885.5</v>
      </c>
      <c r="E259" s="389" t="s">
        <v>543</v>
      </c>
      <c r="F259" s="379"/>
      <c r="G259" s="670" t="s">
        <v>544</v>
      </c>
      <c r="H259" s="671"/>
      <c r="I259" s="672"/>
      <c r="J259" s="379"/>
      <c r="K259" s="388"/>
      <c r="L259" s="397"/>
      <c r="M259" s="388"/>
      <c r="N259" s="381"/>
      <c r="O259" s="346"/>
      <c r="P259"/>
      <c r="Q259"/>
      <c r="T259"/>
    </row>
    <row r="260" spans="1:20" ht="30" customHeight="1" x14ac:dyDescent="0.3">
      <c r="A260" s="228"/>
      <c r="B260" s="47"/>
      <c r="C260" s="379"/>
      <c r="D260" s="375"/>
      <c r="E260" s="379"/>
      <c r="F260" s="379"/>
      <c r="G260" s="398" t="s">
        <v>545</v>
      </c>
      <c r="H260" s="399">
        <v>45</v>
      </c>
      <c r="I260" s="400" t="s">
        <v>546</v>
      </c>
      <c r="J260" s="379"/>
      <c r="K260" s="388"/>
      <c r="L260" s="401"/>
      <c r="M260" s="401"/>
      <c r="N260" s="381"/>
      <c r="O260" s="229"/>
      <c r="P260"/>
      <c r="Q260"/>
      <c r="T260"/>
    </row>
    <row r="261" spans="1:20" ht="30" customHeight="1" x14ac:dyDescent="0.3">
      <c r="A261" s="228"/>
      <c r="B261" s="47"/>
      <c r="C261" s="379"/>
      <c r="D261" s="375"/>
      <c r="E261" s="379"/>
      <c r="F261" s="379"/>
      <c r="G261" s="398" t="s">
        <v>545</v>
      </c>
      <c r="H261" s="404">
        <f>H260/60</f>
        <v>0.75</v>
      </c>
      <c r="I261" s="400" t="s">
        <v>541</v>
      </c>
      <c r="J261" s="379"/>
      <c r="K261" s="388"/>
      <c r="L261" s="401"/>
      <c r="M261" s="401"/>
      <c r="N261" s="381"/>
      <c r="O261" s="229"/>
      <c r="P261"/>
      <c r="Q261"/>
      <c r="T261"/>
    </row>
    <row r="262" spans="1:20" ht="30" customHeight="1" x14ac:dyDescent="0.3">
      <c r="A262" s="228"/>
      <c r="B262" s="47"/>
      <c r="C262" s="379"/>
      <c r="D262" s="375"/>
      <c r="E262" s="379"/>
      <c r="F262" s="379"/>
      <c r="G262"/>
      <c r="H262"/>
      <c r="I262"/>
      <c r="J262" s="379"/>
      <c r="K262" s="388"/>
      <c r="L262" s="401"/>
      <c r="M262" s="401"/>
      <c r="N262" s="381"/>
      <c r="O262" s="229"/>
      <c r="P262"/>
      <c r="Q262"/>
      <c r="T262"/>
    </row>
    <row r="263" spans="1:20" ht="25.5" customHeight="1" x14ac:dyDescent="0.3">
      <c r="A263" s="228"/>
      <c r="B263" s="47"/>
      <c r="C263" s="673" t="s">
        <v>549</v>
      </c>
      <c r="D263" s="674"/>
      <c r="E263" s="675"/>
      <c r="F263" s="375"/>
      <c r="G263" s="673" t="s">
        <v>550</v>
      </c>
      <c r="H263" s="674"/>
      <c r="I263" s="675"/>
      <c r="J263" s="375"/>
      <c r="K263" s="673" t="s">
        <v>551</v>
      </c>
      <c r="L263" s="674"/>
      <c r="M263" s="675"/>
      <c r="N263" s="376"/>
      <c r="O263" s="229"/>
      <c r="P263"/>
      <c r="Q263"/>
      <c r="T263"/>
    </row>
    <row r="264" spans="1:20" ht="30" customHeight="1" x14ac:dyDescent="0.3">
      <c r="A264" s="228"/>
      <c r="B264" s="47"/>
      <c r="C264" s="377"/>
      <c r="D264" s="11"/>
      <c r="E264" s="378"/>
      <c r="F264" s="379"/>
      <c r="G264" s="380"/>
      <c r="H264" s="380"/>
      <c r="I264" s="380"/>
      <c r="J264" s="379"/>
      <c r="K264" s="378"/>
      <c r="L264" s="2"/>
      <c r="M264" s="378"/>
      <c r="N264" s="381"/>
      <c r="O264" s="229"/>
      <c r="P264"/>
      <c r="Q264"/>
      <c r="T264"/>
    </row>
    <row r="265" spans="1:20" ht="30" customHeight="1" x14ac:dyDescent="0.3">
      <c r="A265" s="228"/>
      <c r="B265" s="47"/>
      <c r="C265" s="382" t="s">
        <v>515</v>
      </c>
      <c r="D265" s="383">
        <f>D247</f>
        <v>10</v>
      </c>
      <c r="E265" s="2" t="s">
        <v>516</v>
      </c>
      <c r="F265" s="379"/>
      <c r="G265" s="382" t="s">
        <v>517</v>
      </c>
      <c r="H265" s="408">
        <v>-15</v>
      </c>
      <c r="I265" s="2" t="s">
        <v>518</v>
      </c>
      <c r="J265" s="379"/>
      <c r="K265" s="21" t="s">
        <v>519</v>
      </c>
      <c r="L265" s="163">
        <f>D273/H275</f>
        <v>33257</v>
      </c>
      <c r="M265" s="2" t="s">
        <v>520</v>
      </c>
      <c r="N265" s="381"/>
      <c r="O265" s="229"/>
      <c r="P265"/>
      <c r="Q265"/>
      <c r="T265"/>
    </row>
    <row r="266" spans="1:20" ht="30" customHeight="1" x14ac:dyDescent="0.3">
      <c r="A266" s="228"/>
      <c r="B266" s="47"/>
      <c r="C266" s="382" t="s">
        <v>521</v>
      </c>
      <c r="D266" s="11" t="s">
        <v>96</v>
      </c>
      <c r="E266" s="2" t="s">
        <v>522</v>
      </c>
      <c r="F266" s="379"/>
      <c r="G266" s="382" t="s">
        <v>523</v>
      </c>
      <c r="H266" s="11">
        <f>D268</f>
        <v>0.7</v>
      </c>
      <c r="I266" s="2" t="s">
        <v>524</v>
      </c>
      <c r="J266" s="379"/>
      <c r="K266" s="431" t="s">
        <v>604</v>
      </c>
      <c r="L266" s="385">
        <f>IF(L265/5/1000&lt;23.9,23.9,L265/5/1000)</f>
        <v>23.9</v>
      </c>
      <c r="M266" s="133" t="s">
        <v>525</v>
      </c>
      <c r="N266" s="381"/>
      <c r="O266" s="229"/>
      <c r="P266"/>
      <c r="Q266"/>
      <c r="T266"/>
    </row>
    <row r="267" spans="1:20" ht="30" customHeight="1" x14ac:dyDescent="0.3">
      <c r="A267" s="228"/>
      <c r="B267" s="47"/>
      <c r="C267" s="382" t="s">
        <v>526</v>
      </c>
      <c r="D267" s="383">
        <f>D253</f>
        <v>4751</v>
      </c>
      <c r="E267" s="2" t="s">
        <v>527</v>
      </c>
      <c r="F267" s="379"/>
      <c r="G267" s="382" t="s">
        <v>528</v>
      </c>
      <c r="H267" s="11">
        <f>D270</f>
        <v>15</v>
      </c>
      <c r="I267" s="2" t="s">
        <v>518</v>
      </c>
      <c r="J267" s="379"/>
      <c r="K267" s="382" t="s">
        <v>601</v>
      </c>
      <c r="L267" s="11">
        <f>L265/5/1000</f>
        <v>6.6513999999999998</v>
      </c>
      <c r="M267" s="387"/>
      <c r="N267" s="381"/>
      <c r="O267" s="229"/>
      <c r="P267"/>
      <c r="Q267"/>
      <c r="T267"/>
    </row>
    <row r="268" spans="1:20" ht="30" customHeight="1" x14ac:dyDescent="0.3">
      <c r="A268" s="228"/>
      <c r="B268" s="47"/>
      <c r="C268" s="382" t="s">
        <v>529</v>
      </c>
      <c r="D268" s="11">
        <v>0.7</v>
      </c>
      <c r="E268" s="2" t="s">
        <v>524</v>
      </c>
      <c r="F268" s="379"/>
      <c r="G268" s="382" t="s">
        <v>530</v>
      </c>
      <c r="H268" s="11">
        <f>D271</f>
        <v>5</v>
      </c>
      <c r="I268" s="2" t="s">
        <v>518</v>
      </c>
      <c r="J268" s="379"/>
      <c r="K268" s="455"/>
      <c r="L268" s="455"/>
      <c r="M268" s="455"/>
      <c r="N268" s="381"/>
      <c r="O268" s="229"/>
      <c r="P268"/>
      <c r="Q268"/>
      <c r="T268"/>
    </row>
    <row r="269" spans="1:20" ht="30" customHeight="1" x14ac:dyDescent="0.3">
      <c r="A269" s="228"/>
      <c r="B269" s="47"/>
      <c r="C269" s="382" t="s">
        <v>531</v>
      </c>
      <c r="D269" s="383" t="s">
        <v>96</v>
      </c>
      <c r="E269" s="2" t="s">
        <v>532</v>
      </c>
      <c r="F269" s="379"/>
      <c r="G269" s="382" t="s">
        <v>533</v>
      </c>
      <c r="H269" s="2">
        <f>D272</f>
        <v>21</v>
      </c>
      <c r="I269" s="2" t="s">
        <v>534</v>
      </c>
      <c r="J269" s="379"/>
      <c r="K269" s="455"/>
      <c r="L269" s="455"/>
      <c r="M269" s="455"/>
      <c r="N269" s="381"/>
      <c r="O269" s="229"/>
      <c r="P269"/>
      <c r="Q269"/>
      <c r="T269"/>
    </row>
    <row r="270" spans="1:20" ht="30" customHeight="1" x14ac:dyDescent="0.3">
      <c r="A270" s="228"/>
      <c r="B270" s="47"/>
      <c r="C270" s="382" t="s">
        <v>535</v>
      </c>
      <c r="D270" s="11">
        <v>15</v>
      </c>
      <c r="E270" s="2" t="s">
        <v>518</v>
      </c>
      <c r="F270" s="379"/>
      <c r="G270" s="382" t="s">
        <v>536</v>
      </c>
      <c r="H270" s="2">
        <v>150</v>
      </c>
      <c r="I270" s="21" t="s">
        <v>537</v>
      </c>
      <c r="J270" s="379"/>
      <c r="K270" s="379"/>
      <c r="L270" s="375"/>
      <c r="M270" s="379"/>
      <c r="N270" s="381"/>
      <c r="O270" s="229"/>
      <c r="P270"/>
      <c r="Q270"/>
      <c r="T270"/>
    </row>
    <row r="271" spans="1:20" ht="30" customHeight="1" x14ac:dyDescent="0.3">
      <c r="A271" s="228"/>
      <c r="B271" s="47"/>
      <c r="C271" s="382" t="s">
        <v>538</v>
      </c>
      <c r="D271" s="408">
        <v>5</v>
      </c>
      <c r="E271" s="2" t="s">
        <v>518</v>
      </c>
      <c r="F271" s="379"/>
      <c r="G271" s="2"/>
      <c r="H271" s="21"/>
      <c r="I271" s="21"/>
      <c r="J271" s="379"/>
      <c r="K271" s="379"/>
      <c r="L271" s="375"/>
      <c r="M271" s="379"/>
      <c r="N271" s="381"/>
      <c r="O271" s="229"/>
      <c r="P271"/>
      <c r="Q271"/>
      <c r="T271"/>
    </row>
    <row r="272" spans="1:20" ht="30" customHeight="1" x14ac:dyDescent="0.3">
      <c r="A272" s="228"/>
      <c r="B272" s="47"/>
      <c r="C272" s="382" t="s">
        <v>539</v>
      </c>
      <c r="D272" s="2">
        <v>21</v>
      </c>
      <c r="E272" s="2" t="s">
        <v>534</v>
      </c>
      <c r="F272" s="379"/>
      <c r="G272" s="389" t="s">
        <v>540</v>
      </c>
      <c r="H272" s="390">
        <f>((D267*D268)/(H269*H270))*(LN((H267)-(H265))/((H268)-(H265)))</f>
        <v>0.17954543066974332</v>
      </c>
      <c r="I272" s="389" t="s">
        <v>541</v>
      </c>
      <c r="J272" s="379"/>
      <c r="K272" s="388"/>
      <c r="L272" s="391"/>
      <c r="M272" s="388"/>
      <c r="N272" s="381"/>
      <c r="O272" s="229"/>
      <c r="P272"/>
      <c r="Q272"/>
      <c r="T272"/>
    </row>
    <row r="273" spans="1:20" ht="30" customHeight="1" x14ac:dyDescent="0.3">
      <c r="A273" s="228"/>
      <c r="B273" s="47"/>
      <c r="C273" s="392" t="s">
        <v>542</v>
      </c>
      <c r="D273" s="393">
        <f>D267*D268*(D270-D271)</f>
        <v>33257</v>
      </c>
      <c r="E273" s="389" t="s">
        <v>543</v>
      </c>
      <c r="F273" s="379"/>
      <c r="G273" s="670" t="s">
        <v>544</v>
      </c>
      <c r="H273" s="671"/>
      <c r="I273" s="672"/>
      <c r="J273" s="379"/>
      <c r="K273" s="388"/>
      <c r="L273" s="397"/>
      <c r="M273" s="388"/>
      <c r="N273" s="381"/>
      <c r="O273" s="229"/>
      <c r="P273"/>
      <c r="Q273"/>
      <c r="T273"/>
    </row>
    <row r="274" spans="1:20" ht="30" customHeight="1" x14ac:dyDescent="0.3">
      <c r="A274" s="228"/>
      <c r="B274" s="47"/>
      <c r="C274" s="409"/>
      <c r="D274" s="410"/>
      <c r="E274" s="411"/>
      <c r="F274" s="379"/>
      <c r="G274" s="398" t="s">
        <v>545</v>
      </c>
      <c r="H274" s="399">
        <v>60</v>
      </c>
      <c r="I274" s="400" t="s">
        <v>546</v>
      </c>
      <c r="J274" s="379"/>
      <c r="K274" s="388"/>
      <c r="L274" s="397"/>
      <c r="M274" s="388"/>
      <c r="N274" s="381"/>
      <c r="O274" s="229"/>
      <c r="P274"/>
      <c r="Q274"/>
      <c r="T274"/>
    </row>
    <row r="275" spans="1:20" ht="30" customHeight="1" x14ac:dyDescent="0.3">
      <c r="A275" s="228"/>
      <c r="B275" s="47"/>
      <c r="C275" s="409"/>
      <c r="D275" s="410"/>
      <c r="E275" s="411"/>
      <c r="F275" s="379"/>
      <c r="G275" s="398" t="s">
        <v>545</v>
      </c>
      <c r="H275" s="404">
        <f>H274/60</f>
        <v>1</v>
      </c>
      <c r="I275" s="400" t="s">
        <v>541</v>
      </c>
      <c r="J275" s="379"/>
      <c r="K275" s="388"/>
      <c r="L275" s="397"/>
      <c r="M275" s="388"/>
      <c r="N275" s="381"/>
      <c r="O275" s="229"/>
      <c r="P275"/>
      <c r="Q275"/>
      <c r="T275"/>
    </row>
    <row r="276" spans="1:20" ht="30" customHeight="1" x14ac:dyDescent="0.3">
      <c r="A276" s="228"/>
      <c r="B276" s="47"/>
      <c r="C276" s="409"/>
      <c r="D276" s="410"/>
      <c r="E276" s="411"/>
      <c r="F276" s="379"/>
      <c r="G276"/>
      <c r="H276"/>
      <c r="I276"/>
      <c r="J276" s="379"/>
      <c r="K276" s="388"/>
      <c r="L276" s="397"/>
      <c r="M276" s="388"/>
      <c r="N276" s="381"/>
      <c r="O276" s="229"/>
      <c r="P276"/>
      <c r="Q276"/>
      <c r="T276"/>
    </row>
    <row r="277" spans="1:20" ht="30" customHeight="1" thickBot="1" x14ac:dyDescent="0.35">
      <c r="A277" s="228"/>
      <c r="B277" s="47"/>
      <c r="C277" s="379"/>
      <c r="D277" s="375"/>
      <c r="E277" s="379"/>
      <c r="F277" s="379"/>
      <c r="G277"/>
      <c r="H277"/>
      <c r="I277"/>
      <c r="J277" s="379"/>
      <c r="K277" s="388"/>
      <c r="L277" s="401"/>
      <c r="M277" s="401"/>
      <c r="N277" s="381"/>
      <c r="O277" s="229"/>
      <c r="P277"/>
      <c r="Q277"/>
      <c r="T277"/>
    </row>
    <row r="278" spans="1:20" ht="56.55" customHeight="1" thickBot="1" x14ac:dyDescent="0.35">
      <c r="A278" s="228"/>
      <c r="B278" s="412" t="s">
        <v>498</v>
      </c>
      <c r="C278" s="66" t="s">
        <v>499</v>
      </c>
      <c r="D278" s="66" t="s">
        <v>500</v>
      </c>
      <c r="E278" s="66" t="s">
        <v>501</v>
      </c>
      <c r="F278" s="66" t="s">
        <v>502</v>
      </c>
      <c r="G278" s="66" t="s">
        <v>503</v>
      </c>
      <c r="H278" s="66" t="s">
        <v>504</v>
      </c>
      <c r="I278" s="66" t="s">
        <v>505</v>
      </c>
      <c r="J278" s="66" t="s">
        <v>506</v>
      </c>
      <c r="K278" s="66" t="s">
        <v>507</v>
      </c>
      <c r="L278" s="66" t="s">
        <v>508</v>
      </c>
      <c r="M278" s="708" t="s">
        <v>581</v>
      </c>
      <c r="N278" s="709"/>
      <c r="O278" s="229"/>
      <c r="P278"/>
      <c r="Q278"/>
      <c r="T278"/>
    </row>
    <row r="279" spans="1:20" ht="32.549999999999997" customHeight="1" thickBot="1" x14ac:dyDescent="0.35">
      <c r="A279" s="228"/>
      <c r="B279" s="413" t="s">
        <v>582</v>
      </c>
      <c r="C279" s="465" t="s">
        <v>555</v>
      </c>
      <c r="D279" s="414">
        <v>10</v>
      </c>
      <c r="E279" s="414" t="s">
        <v>511</v>
      </c>
      <c r="F279" s="415" t="s">
        <v>96</v>
      </c>
      <c r="G279" s="415">
        <v>-10</v>
      </c>
      <c r="H279" s="466" t="s">
        <v>96</v>
      </c>
      <c r="I279" s="414" t="s">
        <v>96</v>
      </c>
      <c r="J279" s="414" t="s">
        <v>96</v>
      </c>
      <c r="K279" s="415" t="s">
        <v>96</v>
      </c>
      <c r="L279" s="418">
        <f>H293</f>
        <v>2</v>
      </c>
      <c r="M279" s="684">
        <f>L284</f>
        <v>23.9</v>
      </c>
      <c r="N279" s="685"/>
      <c r="O279" s="229"/>
      <c r="P279"/>
      <c r="Q279"/>
      <c r="T279"/>
    </row>
    <row r="280" spans="1:20" ht="28.5" customHeight="1" x14ac:dyDescent="0.3">
      <c r="A280" s="228"/>
      <c r="B280" s="683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9"/>
      <c r="O280" s="229"/>
      <c r="P280"/>
      <c r="Q280"/>
      <c r="T280"/>
    </row>
    <row r="281" spans="1:20" ht="28.5" customHeight="1" x14ac:dyDescent="0.3">
      <c r="A281" s="228"/>
      <c r="B281" s="47"/>
      <c r="C281" s="673" t="s">
        <v>549</v>
      </c>
      <c r="D281" s="674"/>
      <c r="E281" s="675"/>
      <c r="F281" s="375"/>
      <c r="G281" s="673" t="s">
        <v>550</v>
      </c>
      <c r="H281" s="674"/>
      <c r="I281" s="675"/>
      <c r="J281" s="375"/>
      <c r="K281" s="673" t="s">
        <v>551</v>
      </c>
      <c r="L281" s="674"/>
      <c r="M281" s="675"/>
      <c r="N281" s="376"/>
      <c r="O281" s="229"/>
      <c r="P281"/>
      <c r="Q281"/>
      <c r="T281"/>
    </row>
    <row r="282" spans="1:20" ht="28.5" customHeight="1" x14ac:dyDescent="0.3">
      <c r="A282" s="228"/>
      <c r="B282" s="47"/>
      <c r="C282" s="377"/>
      <c r="D282" s="11"/>
      <c r="E282" s="378"/>
      <c r="F282" s="379"/>
      <c r="G282" s="380"/>
      <c r="H282" s="380"/>
      <c r="I282" s="380"/>
      <c r="J282" s="379"/>
      <c r="K282" s="378"/>
      <c r="L282" s="2"/>
      <c r="M282" s="378"/>
      <c r="N282" s="381"/>
      <c r="O282" s="229"/>
      <c r="P282"/>
      <c r="Q282"/>
      <c r="T282"/>
    </row>
    <row r="283" spans="1:20" ht="28.5" customHeight="1" x14ac:dyDescent="0.3">
      <c r="A283" s="228"/>
      <c r="B283" s="47"/>
      <c r="C283" s="382" t="s">
        <v>515</v>
      </c>
      <c r="D283" s="383">
        <f>D279</f>
        <v>10</v>
      </c>
      <c r="E283" s="2" t="s">
        <v>516</v>
      </c>
      <c r="F283" s="379"/>
      <c r="G283" s="382" t="s">
        <v>517</v>
      </c>
      <c r="H283" s="408">
        <v>-15</v>
      </c>
      <c r="I283" s="2" t="s">
        <v>518</v>
      </c>
      <c r="J283" s="379"/>
      <c r="K283" s="21" t="s">
        <v>519</v>
      </c>
      <c r="L283" s="163">
        <f>D291/H293</f>
        <v>25415.25</v>
      </c>
      <c r="M283" s="2" t="s">
        <v>520</v>
      </c>
      <c r="N283" s="381"/>
      <c r="O283" s="229"/>
      <c r="P283"/>
      <c r="Q283"/>
      <c r="T283"/>
    </row>
    <row r="284" spans="1:20" ht="38.549999999999997" customHeight="1" x14ac:dyDescent="0.3">
      <c r="A284" s="228"/>
      <c r="B284" s="47"/>
      <c r="C284" s="382" t="s">
        <v>521</v>
      </c>
      <c r="D284" s="11" t="s">
        <v>96</v>
      </c>
      <c r="E284" s="2" t="s">
        <v>522</v>
      </c>
      <c r="F284" s="379"/>
      <c r="G284" s="382" t="s">
        <v>523</v>
      </c>
      <c r="H284" s="11">
        <f>D286</f>
        <v>0.7</v>
      </c>
      <c r="I284" s="2" t="s">
        <v>524</v>
      </c>
      <c r="J284" s="379"/>
      <c r="K284" s="431" t="s">
        <v>604</v>
      </c>
      <c r="L284" s="385">
        <f>IF(L283/5/1000&lt;23.9,23.9,L283/5/1000)</f>
        <v>23.9</v>
      </c>
      <c r="M284" s="133" t="s">
        <v>525</v>
      </c>
      <c r="N284" s="381"/>
      <c r="O284" s="229"/>
      <c r="P284"/>
      <c r="Q284"/>
      <c r="T284"/>
    </row>
    <row r="285" spans="1:20" ht="28.5" customHeight="1" x14ac:dyDescent="0.3">
      <c r="A285" s="228"/>
      <c r="B285" s="47"/>
      <c r="C285" s="382" t="s">
        <v>526</v>
      </c>
      <c r="D285" s="383">
        <f>xx!J51</f>
        <v>4841</v>
      </c>
      <c r="E285" s="2" t="s">
        <v>527</v>
      </c>
      <c r="F285" s="379"/>
      <c r="G285" s="382" t="s">
        <v>528</v>
      </c>
      <c r="H285" s="11">
        <f>D288</f>
        <v>5</v>
      </c>
      <c r="I285" s="2" t="s">
        <v>518</v>
      </c>
      <c r="J285" s="379"/>
      <c r="K285" s="382" t="s">
        <v>601</v>
      </c>
      <c r="L285" s="11">
        <f>L283/5/1000</f>
        <v>5.0830500000000001</v>
      </c>
      <c r="M285" s="387"/>
      <c r="N285" s="381"/>
      <c r="O285" s="229"/>
      <c r="P285"/>
      <c r="Q285"/>
      <c r="T285"/>
    </row>
    <row r="286" spans="1:20" ht="28.5" customHeight="1" x14ac:dyDescent="0.3">
      <c r="A286" s="228"/>
      <c r="B286" s="47"/>
      <c r="C286" s="382" t="s">
        <v>529</v>
      </c>
      <c r="D286" s="11">
        <v>0.7</v>
      </c>
      <c r="E286" s="2" t="s">
        <v>524</v>
      </c>
      <c r="F286" s="379"/>
      <c r="G286" s="382" t="s">
        <v>530</v>
      </c>
      <c r="H286" s="11">
        <f>D289</f>
        <v>-10</v>
      </c>
      <c r="I286" s="2" t="s">
        <v>518</v>
      </c>
      <c r="J286" s="379"/>
      <c r="K286" s="455"/>
      <c r="L286" s="455"/>
      <c r="M286" s="455"/>
      <c r="N286" s="381"/>
      <c r="O286" s="229"/>
      <c r="P286"/>
      <c r="Q286"/>
      <c r="T286"/>
    </row>
    <row r="287" spans="1:20" ht="28.5" customHeight="1" x14ac:dyDescent="0.3">
      <c r="A287" s="228"/>
      <c r="B287" s="47"/>
      <c r="C287" s="382" t="s">
        <v>531</v>
      </c>
      <c r="D287" s="383" t="s">
        <v>96</v>
      </c>
      <c r="E287" s="2" t="s">
        <v>532</v>
      </c>
      <c r="F287" s="379"/>
      <c r="G287" s="382" t="s">
        <v>533</v>
      </c>
      <c r="H287" s="2">
        <f>D290</f>
        <v>21</v>
      </c>
      <c r="I287" s="2" t="s">
        <v>534</v>
      </c>
      <c r="J287" s="379"/>
      <c r="K287" s="455"/>
      <c r="L287" s="455"/>
      <c r="M287" s="455"/>
      <c r="N287" s="381"/>
      <c r="O287" s="229"/>
      <c r="P287"/>
      <c r="Q287"/>
      <c r="T287"/>
    </row>
    <row r="288" spans="1:20" ht="28.5" customHeight="1" x14ac:dyDescent="0.3">
      <c r="A288" s="228"/>
      <c r="B288" s="47"/>
      <c r="C288" s="382" t="s">
        <v>535</v>
      </c>
      <c r="D288" s="11">
        <v>5</v>
      </c>
      <c r="E288" s="2" t="s">
        <v>518</v>
      </c>
      <c r="F288" s="379"/>
      <c r="G288" s="382" t="s">
        <v>536</v>
      </c>
      <c r="H288" s="2">
        <v>150</v>
      </c>
      <c r="I288" s="21" t="s">
        <v>537</v>
      </c>
      <c r="J288" s="379"/>
      <c r="K288" s="379"/>
      <c r="L288" s="375"/>
      <c r="M288" s="379"/>
      <c r="N288" s="381"/>
      <c r="O288" s="229"/>
      <c r="P288"/>
      <c r="Q288"/>
      <c r="T288"/>
    </row>
    <row r="289" spans="1:20" ht="28.5" customHeight="1" x14ac:dyDescent="0.3">
      <c r="A289" s="228"/>
      <c r="B289" s="47"/>
      <c r="C289" s="382" t="s">
        <v>538</v>
      </c>
      <c r="D289" s="408">
        <v>-10</v>
      </c>
      <c r="E289" s="2" t="s">
        <v>518</v>
      </c>
      <c r="F289" s="379"/>
      <c r="G289" s="2"/>
      <c r="H289" s="21"/>
      <c r="I289" s="21"/>
      <c r="J289" s="379"/>
      <c r="K289" s="379"/>
      <c r="L289" s="375"/>
      <c r="M289" s="379"/>
      <c r="N289" s="381"/>
      <c r="O289" s="229"/>
      <c r="P289"/>
      <c r="Q289"/>
      <c r="T289"/>
    </row>
    <row r="290" spans="1:20" ht="28.5" customHeight="1" x14ac:dyDescent="0.3">
      <c r="A290" s="228"/>
      <c r="B290" s="47"/>
      <c r="C290" s="382" t="s">
        <v>539</v>
      </c>
      <c r="D290" s="2">
        <v>21</v>
      </c>
      <c r="E290" s="2" t="s">
        <v>534</v>
      </c>
      <c r="F290" s="379"/>
      <c r="G290" s="389" t="s">
        <v>540</v>
      </c>
      <c r="H290" s="390">
        <f>((D285*D286)/(H287*H288))*(LN((H285)-(H283))/((H286)-(H283)))</f>
        <v>0.64454844161221647</v>
      </c>
      <c r="I290" s="389" t="s">
        <v>541</v>
      </c>
      <c r="J290" s="379"/>
      <c r="K290" s="388"/>
      <c r="L290" s="391"/>
      <c r="M290" s="388"/>
      <c r="N290" s="381"/>
      <c r="O290" s="229"/>
      <c r="P290"/>
      <c r="Q290"/>
      <c r="T290"/>
    </row>
    <row r="291" spans="1:20" ht="28.5" customHeight="1" x14ac:dyDescent="0.3">
      <c r="A291" s="228"/>
      <c r="B291" s="47"/>
      <c r="C291" s="392" t="s">
        <v>542</v>
      </c>
      <c r="D291" s="393">
        <f>D285*D286*(D288-D289)</f>
        <v>50830.5</v>
      </c>
      <c r="E291" s="389" t="s">
        <v>543</v>
      </c>
      <c r="F291" s="379"/>
      <c r="G291" s="670" t="s">
        <v>544</v>
      </c>
      <c r="H291" s="671"/>
      <c r="I291" s="672"/>
      <c r="J291" s="379"/>
      <c r="K291" s="388"/>
      <c r="L291" s="397"/>
      <c r="M291" s="388"/>
      <c r="N291" s="381"/>
      <c r="O291" s="229"/>
      <c r="P291"/>
      <c r="Q291"/>
      <c r="T291"/>
    </row>
    <row r="292" spans="1:20" ht="28.5" customHeight="1" x14ac:dyDescent="0.3">
      <c r="A292" s="228"/>
      <c r="B292" s="47"/>
      <c r="C292" s="409"/>
      <c r="D292" s="410"/>
      <c r="E292" s="411"/>
      <c r="F292" s="379"/>
      <c r="G292" s="398" t="s">
        <v>545</v>
      </c>
      <c r="H292" s="399">
        <v>120</v>
      </c>
      <c r="I292" s="400" t="s">
        <v>546</v>
      </c>
      <c r="J292" s="379"/>
      <c r="K292" s="388"/>
      <c r="L292" s="397"/>
      <c r="M292" s="388"/>
      <c r="N292" s="381"/>
      <c r="O292" s="229"/>
      <c r="P292"/>
      <c r="Q292"/>
      <c r="T292"/>
    </row>
    <row r="293" spans="1:20" ht="28.5" customHeight="1" x14ac:dyDescent="0.3">
      <c r="A293" s="228"/>
      <c r="B293" s="47"/>
      <c r="C293" s="409"/>
      <c r="D293" s="410"/>
      <c r="E293" s="411"/>
      <c r="F293" s="379"/>
      <c r="G293" s="398" t="s">
        <v>545</v>
      </c>
      <c r="H293" s="404">
        <f>H292/60</f>
        <v>2</v>
      </c>
      <c r="I293" s="400" t="s">
        <v>541</v>
      </c>
      <c r="J293" s="379"/>
      <c r="K293" s="388"/>
      <c r="L293" s="397"/>
      <c r="M293" s="388"/>
      <c r="N293" s="381"/>
      <c r="O293" s="229"/>
      <c r="P293"/>
      <c r="Q293"/>
      <c r="T293"/>
    </row>
    <row r="294" spans="1:20" ht="28.5" customHeight="1" thickBot="1" x14ac:dyDescent="0.35">
      <c r="A294" s="228"/>
      <c r="B294" s="402"/>
      <c r="C294" s="403"/>
      <c r="D294" s="403"/>
      <c r="E294" s="403"/>
      <c r="F294" s="403"/>
      <c r="G294" s="403"/>
      <c r="H294" s="403"/>
      <c r="I294" s="403"/>
      <c r="J294" s="403"/>
      <c r="K294" s="403"/>
      <c r="L294" s="405"/>
      <c r="M294" s="403"/>
      <c r="N294" s="406"/>
      <c r="O294" s="229"/>
      <c r="P294"/>
      <c r="Q294"/>
      <c r="T294"/>
    </row>
    <row r="295" spans="1:20" ht="62.55" customHeight="1" thickBot="1" x14ac:dyDescent="0.35">
      <c r="A295" s="228"/>
      <c r="B295" s="412" t="s">
        <v>498</v>
      </c>
      <c r="C295" s="66" t="s">
        <v>499</v>
      </c>
      <c r="D295" s="66" t="s">
        <v>500</v>
      </c>
      <c r="E295" s="66" t="s">
        <v>501</v>
      </c>
      <c r="F295" s="66" t="s">
        <v>502</v>
      </c>
      <c r="G295" s="66" t="s">
        <v>503</v>
      </c>
      <c r="H295" s="66" t="s">
        <v>504</v>
      </c>
      <c r="I295" s="66" t="s">
        <v>505</v>
      </c>
      <c r="J295" s="66" t="s">
        <v>506</v>
      </c>
      <c r="K295" s="66" t="s">
        <v>507</v>
      </c>
      <c r="L295" s="66" t="s">
        <v>508</v>
      </c>
      <c r="M295" s="708" t="s">
        <v>581</v>
      </c>
      <c r="N295" s="709"/>
      <c r="O295" s="229"/>
      <c r="P295"/>
      <c r="Q295"/>
      <c r="T295"/>
    </row>
    <row r="296" spans="1:20" ht="32.549999999999997" customHeight="1" thickBot="1" x14ac:dyDescent="0.35">
      <c r="A296" s="228"/>
      <c r="B296" s="413" t="s">
        <v>583</v>
      </c>
      <c r="C296" s="465" t="s">
        <v>555</v>
      </c>
      <c r="D296" s="414">
        <v>10</v>
      </c>
      <c r="E296" s="414" t="s">
        <v>511</v>
      </c>
      <c r="F296" s="415" t="s">
        <v>96</v>
      </c>
      <c r="G296" s="415">
        <v>-10</v>
      </c>
      <c r="H296" s="466" t="s">
        <v>96</v>
      </c>
      <c r="I296" s="414" t="s">
        <v>96</v>
      </c>
      <c r="J296" s="414" t="s">
        <v>96</v>
      </c>
      <c r="K296" s="415" t="s">
        <v>96</v>
      </c>
      <c r="L296" s="418">
        <f>H310</f>
        <v>0.5</v>
      </c>
      <c r="M296" s="684">
        <f>L301</f>
        <v>23.9</v>
      </c>
      <c r="N296" s="685"/>
      <c r="O296" s="229"/>
      <c r="P296"/>
      <c r="Q296"/>
      <c r="T296"/>
    </row>
    <row r="297" spans="1:20" ht="28.5" customHeight="1" x14ac:dyDescent="0.3">
      <c r="A297" s="228"/>
      <c r="B297" s="683"/>
      <c r="C297" s="628"/>
      <c r="D297" s="628"/>
      <c r="E297" s="628"/>
      <c r="F297" s="628"/>
      <c r="G297" s="628"/>
      <c r="H297" s="628"/>
      <c r="I297" s="628"/>
      <c r="J297" s="628"/>
      <c r="K297" s="628"/>
      <c r="L297" s="628"/>
      <c r="M297" s="628"/>
      <c r="N297" s="629"/>
      <c r="O297" s="229"/>
      <c r="P297"/>
      <c r="Q297"/>
      <c r="T297"/>
    </row>
    <row r="298" spans="1:20" ht="28.5" customHeight="1" x14ac:dyDescent="0.3">
      <c r="A298" s="228"/>
      <c r="B298" s="47"/>
      <c r="C298" s="673" t="s">
        <v>549</v>
      </c>
      <c r="D298" s="674"/>
      <c r="E298" s="675"/>
      <c r="F298" s="375"/>
      <c r="G298" s="673" t="s">
        <v>550</v>
      </c>
      <c r="H298" s="674"/>
      <c r="I298" s="675"/>
      <c r="J298" s="375"/>
      <c r="K298" s="673" t="s">
        <v>551</v>
      </c>
      <c r="L298" s="674"/>
      <c r="M298" s="675"/>
      <c r="N298" s="376"/>
      <c r="O298" s="229"/>
      <c r="P298"/>
      <c r="Q298"/>
      <c r="T298"/>
    </row>
    <row r="299" spans="1:20" ht="28.5" customHeight="1" x14ac:dyDescent="0.3">
      <c r="A299" s="228"/>
      <c r="B299" s="47"/>
      <c r="C299" s="377"/>
      <c r="D299" s="11"/>
      <c r="E299" s="378"/>
      <c r="F299" s="379"/>
      <c r="G299" s="380"/>
      <c r="H299" s="380"/>
      <c r="I299" s="380"/>
      <c r="J299" s="379"/>
      <c r="K299" s="378"/>
      <c r="L299" s="2"/>
      <c r="M299" s="378"/>
      <c r="N299" s="381"/>
      <c r="O299" s="229"/>
      <c r="P299"/>
      <c r="Q299"/>
      <c r="T299"/>
    </row>
    <row r="300" spans="1:20" ht="28.5" customHeight="1" x14ac:dyDescent="0.3">
      <c r="A300" s="228"/>
      <c r="B300" s="47"/>
      <c r="C300" s="382" t="s">
        <v>515</v>
      </c>
      <c r="D300" s="383">
        <f>D296</f>
        <v>10</v>
      </c>
      <c r="E300" s="2" t="s">
        <v>516</v>
      </c>
      <c r="F300" s="379"/>
      <c r="G300" s="382" t="s">
        <v>517</v>
      </c>
      <c r="H300" s="408">
        <v>-15</v>
      </c>
      <c r="I300" s="2" t="s">
        <v>518</v>
      </c>
      <c r="J300" s="379"/>
      <c r="K300" s="21" t="s">
        <v>519</v>
      </c>
      <c r="L300" s="163">
        <f>D308/H310</f>
        <v>29120</v>
      </c>
      <c r="M300" s="2" t="s">
        <v>520</v>
      </c>
      <c r="N300" s="381"/>
      <c r="O300" s="229"/>
      <c r="P300"/>
      <c r="Q300"/>
      <c r="T300"/>
    </row>
    <row r="301" spans="1:20" ht="38.549999999999997" customHeight="1" x14ac:dyDescent="0.3">
      <c r="A301" s="228"/>
      <c r="B301" s="47"/>
      <c r="C301" s="382" t="s">
        <v>521</v>
      </c>
      <c r="D301" s="11" t="s">
        <v>96</v>
      </c>
      <c r="E301" s="2" t="s">
        <v>522</v>
      </c>
      <c r="F301" s="379"/>
      <c r="G301" s="382" t="s">
        <v>523</v>
      </c>
      <c r="H301" s="11">
        <f>D303</f>
        <v>0.7</v>
      </c>
      <c r="I301" s="2" t="s">
        <v>524</v>
      </c>
      <c r="J301" s="379"/>
      <c r="K301" s="431" t="s">
        <v>604</v>
      </c>
      <c r="L301" s="385">
        <f>IF(L300/5/1000&lt;23.9,23.9,L300/5/1000)</f>
        <v>23.9</v>
      </c>
      <c r="M301" s="133" t="s">
        <v>525</v>
      </c>
      <c r="N301" s="381"/>
      <c r="O301" s="229"/>
      <c r="P301"/>
      <c r="Q301"/>
      <c r="T301"/>
    </row>
    <row r="302" spans="1:20" ht="28.5" customHeight="1" x14ac:dyDescent="0.3">
      <c r="A302" s="228"/>
      <c r="B302" s="47"/>
      <c r="C302" s="382" t="s">
        <v>526</v>
      </c>
      <c r="D302" s="383">
        <f>520</f>
        <v>520</v>
      </c>
      <c r="E302" s="2" t="s">
        <v>527</v>
      </c>
      <c r="F302" s="379"/>
      <c r="G302" s="382" t="s">
        <v>528</v>
      </c>
      <c r="H302" s="11">
        <f>D305</f>
        <v>30</v>
      </c>
      <c r="I302" s="2" t="s">
        <v>518</v>
      </c>
      <c r="J302" s="379"/>
      <c r="K302" s="382" t="s">
        <v>601</v>
      </c>
      <c r="L302" s="11">
        <f>L300/5/1000</f>
        <v>5.8239999999999998</v>
      </c>
      <c r="M302" s="387"/>
      <c r="N302" s="381"/>
      <c r="O302" s="229"/>
      <c r="P302"/>
      <c r="Q302"/>
      <c r="T302"/>
    </row>
    <row r="303" spans="1:20" ht="28.5" customHeight="1" x14ac:dyDescent="0.3">
      <c r="A303" s="228"/>
      <c r="B303" s="47"/>
      <c r="C303" s="382" t="s">
        <v>529</v>
      </c>
      <c r="D303" s="11">
        <v>0.7</v>
      </c>
      <c r="E303" s="2" t="s">
        <v>524</v>
      </c>
      <c r="F303" s="379"/>
      <c r="G303" s="382" t="s">
        <v>530</v>
      </c>
      <c r="H303" s="11">
        <f>D306</f>
        <v>-10</v>
      </c>
      <c r="I303" s="2" t="s">
        <v>518</v>
      </c>
      <c r="J303" s="379"/>
      <c r="K303" s="455"/>
      <c r="L303" s="455"/>
      <c r="M303" s="455"/>
      <c r="N303" s="381"/>
      <c r="O303" s="229"/>
      <c r="P303"/>
      <c r="Q303"/>
      <c r="T303"/>
    </row>
    <row r="304" spans="1:20" ht="28.5" customHeight="1" x14ac:dyDescent="0.3">
      <c r="A304" s="228"/>
      <c r="B304" s="47"/>
      <c r="C304" s="382" t="s">
        <v>531</v>
      </c>
      <c r="D304" s="383" t="s">
        <v>96</v>
      </c>
      <c r="E304" s="2" t="s">
        <v>532</v>
      </c>
      <c r="F304" s="379"/>
      <c r="G304" s="382" t="s">
        <v>533</v>
      </c>
      <c r="H304" s="2">
        <f>D307</f>
        <v>21</v>
      </c>
      <c r="I304" s="2" t="s">
        <v>534</v>
      </c>
      <c r="J304" s="379"/>
      <c r="K304" s="455"/>
      <c r="L304" s="455"/>
      <c r="M304" s="455"/>
      <c r="N304" s="381"/>
      <c r="O304" s="229"/>
      <c r="P304"/>
      <c r="Q304"/>
      <c r="T304"/>
    </row>
    <row r="305" spans="1:20" ht="28.5" customHeight="1" x14ac:dyDescent="0.3">
      <c r="A305" s="228"/>
      <c r="B305" s="47"/>
      <c r="C305" s="382" t="s">
        <v>535</v>
      </c>
      <c r="D305" s="11">
        <v>30</v>
      </c>
      <c r="E305" s="2" t="s">
        <v>518</v>
      </c>
      <c r="F305" s="379"/>
      <c r="G305" s="382" t="s">
        <v>536</v>
      </c>
      <c r="H305" s="2">
        <v>150</v>
      </c>
      <c r="I305" s="21" t="s">
        <v>537</v>
      </c>
      <c r="J305" s="379"/>
      <c r="K305" s="379"/>
      <c r="L305" s="375"/>
      <c r="M305" s="379"/>
      <c r="N305" s="381"/>
      <c r="O305" s="229"/>
      <c r="P305"/>
      <c r="Q305"/>
      <c r="T305"/>
    </row>
    <row r="306" spans="1:20" ht="28.5" customHeight="1" x14ac:dyDescent="0.3">
      <c r="A306" s="228"/>
      <c r="B306" s="47"/>
      <c r="C306" s="382" t="s">
        <v>538</v>
      </c>
      <c r="D306" s="408">
        <v>-10</v>
      </c>
      <c r="E306" s="2" t="s">
        <v>518</v>
      </c>
      <c r="F306" s="379"/>
      <c r="G306" s="2"/>
      <c r="H306" s="21"/>
      <c r="I306" s="21"/>
      <c r="J306" s="379"/>
      <c r="K306" s="379"/>
      <c r="L306" s="375"/>
      <c r="M306" s="379"/>
      <c r="N306" s="381"/>
      <c r="O306" s="229"/>
      <c r="P306"/>
      <c r="Q306"/>
      <c r="T306"/>
    </row>
    <row r="307" spans="1:20" ht="28.5" customHeight="1" x14ac:dyDescent="0.3">
      <c r="A307" s="228"/>
      <c r="B307" s="47"/>
      <c r="C307" s="382" t="s">
        <v>539</v>
      </c>
      <c r="D307" s="2">
        <v>21</v>
      </c>
      <c r="E307" s="2" t="s">
        <v>534</v>
      </c>
      <c r="F307" s="379"/>
      <c r="G307" s="389" t="s">
        <v>540</v>
      </c>
      <c r="H307" s="390">
        <f>((D302*D303)/(H304*H305))*(LN((H302)-(H300))/((H303)-(H300)))</f>
        <v>8.7976199763580717E-2</v>
      </c>
      <c r="I307" s="389" t="s">
        <v>541</v>
      </c>
      <c r="J307" s="379"/>
      <c r="K307" s="388"/>
      <c r="L307" s="391"/>
      <c r="M307" s="388"/>
      <c r="N307" s="381"/>
      <c r="O307" s="229"/>
      <c r="P307"/>
      <c r="Q307"/>
      <c r="T307"/>
    </row>
    <row r="308" spans="1:20" ht="28.5" customHeight="1" x14ac:dyDescent="0.3">
      <c r="A308" s="228"/>
      <c r="B308" s="47"/>
      <c r="C308" s="392" t="s">
        <v>542</v>
      </c>
      <c r="D308" s="393">
        <f>D302*D303*(D305-D306)</f>
        <v>14560</v>
      </c>
      <c r="E308" s="389" t="s">
        <v>543</v>
      </c>
      <c r="F308" s="379"/>
      <c r="G308" s="670" t="s">
        <v>544</v>
      </c>
      <c r="H308" s="671"/>
      <c r="I308" s="672"/>
      <c r="J308" s="379"/>
      <c r="K308" s="388"/>
      <c r="L308" s="397"/>
      <c r="M308" s="388"/>
      <c r="N308" s="381"/>
      <c r="O308" s="229"/>
      <c r="P308"/>
      <c r="Q308"/>
      <c r="T308"/>
    </row>
    <row r="309" spans="1:20" ht="28.5" customHeight="1" x14ac:dyDescent="0.3">
      <c r="A309" s="228"/>
      <c r="B309" s="47"/>
      <c r="C309" s="409"/>
      <c r="D309" s="410"/>
      <c r="E309" s="411"/>
      <c r="F309" s="379"/>
      <c r="G309" s="398" t="s">
        <v>545</v>
      </c>
      <c r="H309" s="399">
        <v>30</v>
      </c>
      <c r="I309" s="400" t="s">
        <v>546</v>
      </c>
      <c r="J309" s="379"/>
      <c r="K309" s="388"/>
      <c r="L309" s="397"/>
      <c r="M309" s="388"/>
      <c r="N309" s="381"/>
      <c r="O309" s="229"/>
      <c r="P309"/>
      <c r="Q309"/>
      <c r="T309"/>
    </row>
    <row r="310" spans="1:20" ht="28.5" customHeight="1" x14ac:dyDescent="0.3">
      <c r="A310" s="228"/>
      <c r="B310" s="47"/>
      <c r="C310" s="409"/>
      <c r="D310" s="410"/>
      <c r="E310" s="411"/>
      <c r="F310" s="379"/>
      <c r="G310" s="398" t="s">
        <v>545</v>
      </c>
      <c r="H310" s="404">
        <f>H309/60</f>
        <v>0.5</v>
      </c>
      <c r="I310" s="400" t="s">
        <v>541</v>
      </c>
      <c r="J310" s="379"/>
      <c r="K310" s="388"/>
      <c r="L310" s="397"/>
      <c r="M310" s="388"/>
      <c r="N310" s="381"/>
      <c r="O310" s="229"/>
      <c r="P310"/>
      <c r="Q310"/>
      <c r="T310"/>
    </row>
    <row r="311" spans="1:20" ht="28.5" customHeight="1" thickBot="1" x14ac:dyDescent="0.35">
      <c r="A311" s="228"/>
      <c r="B311" s="402"/>
      <c r="C311" s="403"/>
      <c r="D311" s="403"/>
      <c r="E311" s="403"/>
      <c r="F311" s="403"/>
      <c r="G311" s="403"/>
      <c r="H311" s="403"/>
      <c r="I311" s="403"/>
      <c r="J311" s="403"/>
      <c r="K311" s="403"/>
      <c r="L311" s="405"/>
      <c r="M311" s="403"/>
      <c r="N311" s="406"/>
      <c r="O311" s="229"/>
      <c r="P311"/>
      <c r="Q311"/>
      <c r="T311"/>
    </row>
    <row r="312" spans="1:20" ht="55.05" customHeight="1" thickBot="1" x14ac:dyDescent="0.35">
      <c r="A312" s="228"/>
      <c r="B312" s="412" t="s">
        <v>498</v>
      </c>
      <c r="C312" s="66" t="s">
        <v>499</v>
      </c>
      <c r="D312" s="66" t="s">
        <v>500</v>
      </c>
      <c r="E312" s="66" t="s">
        <v>501</v>
      </c>
      <c r="F312" s="66" t="s">
        <v>502</v>
      </c>
      <c r="G312" s="66" t="s">
        <v>503</v>
      </c>
      <c r="H312" s="66" t="s">
        <v>504</v>
      </c>
      <c r="I312" s="66" t="s">
        <v>505</v>
      </c>
      <c r="J312" s="66" t="s">
        <v>506</v>
      </c>
      <c r="K312" s="66" t="s">
        <v>507</v>
      </c>
      <c r="L312" s="66" t="s">
        <v>508</v>
      </c>
      <c r="M312" s="708" t="s">
        <v>581</v>
      </c>
      <c r="N312" s="709"/>
      <c r="O312" s="229"/>
      <c r="P312"/>
      <c r="Q312"/>
      <c r="T312"/>
    </row>
    <row r="313" spans="1:20" ht="32.549999999999997" customHeight="1" thickBot="1" x14ac:dyDescent="0.35">
      <c r="A313" s="228"/>
      <c r="B313" s="413">
        <v>33</v>
      </c>
      <c r="C313" s="465" t="s">
        <v>555</v>
      </c>
      <c r="D313" s="414">
        <v>10</v>
      </c>
      <c r="E313" s="414" t="s">
        <v>511</v>
      </c>
      <c r="F313" s="415" t="s">
        <v>96</v>
      </c>
      <c r="G313" s="415">
        <v>-10</v>
      </c>
      <c r="H313" s="466" t="s">
        <v>96</v>
      </c>
      <c r="I313" s="414" t="s">
        <v>96</v>
      </c>
      <c r="J313" s="414" t="s">
        <v>96</v>
      </c>
      <c r="K313" s="415" t="s">
        <v>96</v>
      </c>
      <c r="L313" s="418">
        <f>H324</f>
        <v>0.47371799872697301</v>
      </c>
      <c r="M313" s="684">
        <f>L318</f>
        <v>23.9</v>
      </c>
      <c r="N313" s="685"/>
      <c r="O313" s="229"/>
      <c r="P313"/>
      <c r="Q313"/>
      <c r="T313"/>
    </row>
    <row r="314" spans="1:20" ht="28.5" customHeight="1" x14ac:dyDescent="0.3">
      <c r="A314" s="228"/>
      <c r="B314" s="683"/>
      <c r="C314" s="628"/>
      <c r="D314" s="628"/>
      <c r="E314" s="628"/>
      <c r="F314" s="628"/>
      <c r="G314" s="628"/>
      <c r="H314" s="628"/>
      <c r="I314" s="628"/>
      <c r="J314" s="628"/>
      <c r="K314" s="628"/>
      <c r="L314" s="628"/>
      <c r="M314" s="628"/>
      <c r="N314" s="629"/>
      <c r="O314" s="229"/>
      <c r="P314"/>
      <c r="Q314"/>
      <c r="T314"/>
    </row>
    <row r="315" spans="1:20" ht="28.5" customHeight="1" x14ac:dyDescent="0.3">
      <c r="A315" s="228"/>
      <c r="B315" s="47"/>
      <c r="C315" s="673" t="s">
        <v>549</v>
      </c>
      <c r="D315" s="674"/>
      <c r="E315" s="675"/>
      <c r="F315" s="375"/>
      <c r="G315" s="673" t="s">
        <v>550</v>
      </c>
      <c r="H315" s="674"/>
      <c r="I315" s="675"/>
      <c r="J315" s="375"/>
      <c r="K315" s="673" t="s">
        <v>551</v>
      </c>
      <c r="L315" s="674"/>
      <c r="M315" s="675"/>
      <c r="N315" s="376"/>
      <c r="O315" s="229"/>
      <c r="P315"/>
      <c r="Q315"/>
      <c r="T315"/>
    </row>
    <row r="316" spans="1:20" ht="28.5" customHeight="1" x14ac:dyDescent="0.3">
      <c r="A316" s="228"/>
      <c r="B316" s="47"/>
      <c r="C316" s="377"/>
      <c r="D316" s="11"/>
      <c r="E316" s="378"/>
      <c r="F316" s="379"/>
      <c r="G316" s="380"/>
      <c r="H316" s="380"/>
      <c r="I316" s="380"/>
      <c r="J316" s="379"/>
      <c r="K316" s="378"/>
      <c r="L316" s="2"/>
      <c r="M316" s="378"/>
      <c r="N316" s="381"/>
      <c r="O316" s="229"/>
      <c r="P316"/>
      <c r="Q316"/>
      <c r="T316"/>
    </row>
    <row r="317" spans="1:20" ht="28.5" customHeight="1" x14ac:dyDescent="0.3">
      <c r="A317" s="228"/>
      <c r="B317" s="47"/>
      <c r="C317" s="382" t="s">
        <v>515</v>
      </c>
      <c r="D317" s="383">
        <f>D313</f>
        <v>10</v>
      </c>
      <c r="E317" s="2" t="s">
        <v>516</v>
      </c>
      <c r="F317" s="379"/>
      <c r="G317" s="382" t="s">
        <v>517</v>
      </c>
      <c r="H317" s="408">
        <v>-15</v>
      </c>
      <c r="I317" s="2" t="s">
        <v>518</v>
      </c>
      <c r="J317" s="379"/>
      <c r="K317" s="21" t="s">
        <v>519</v>
      </c>
      <c r="L317" s="163">
        <f>D325/H327</f>
        <v>78399.999999999985</v>
      </c>
      <c r="M317" s="2" t="s">
        <v>520</v>
      </c>
      <c r="N317" s="381"/>
      <c r="O317" s="229"/>
      <c r="P317"/>
      <c r="Q317"/>
      <c r="T317"/>
    </row>
    <row r="318" spans="1:20" ht="38.549999999999997" customHeight="1" x14ac:dyDescent="0.3">
      <c r="A318" s="228"/>
      <c r="B318" s="47"/>
      <c r="C318" s="382" t="s">
        <v>521</v>
      </c>
      <c r="D318" s="11" t="s">
        <v>96</v>
      </c>
      <c r="E318" s="2" t="s">
        <v>522</v>
      </c>
      <c r="F318" s="379"/>
      <c r="G318" s="382" t="s">
        <v>523</v>
      </c>
      <c r="H318" s="11">
        <f>D320</f>
        <v>0.7</v>
      </c>
      <c r="I318" s="2" t="s">
        <v>524</v>
      </c>
      <c r="J318" s="379"/>
      <c r="K318" s="431" t="s">
        <v>604</v>
      </c>
      <c r="L318" s="385">
        <f>IF(L317/5/1000&lt;23.9,23.9,L317/5/1000)</f>
        <v>23.9</v>
      </c>
      <c r="M318" s="133" t="s">
        <v>525</v>
      </c>
      <c r="N318" s="381"/>
      <c r="O318" s="229"/>
      <c r="P318"/>
      <c r="Q318"/>
      <c r="T318"/>
    </row>
    <row r="319" spans="1:20" ht="28.5" customHeight="1" x14ac:dyDescent="0.3">
      <c r="A319" s="228"/>
      <c r="B319" s="47"/>
      <c r="C319" s="382" t="s">
        <v>526</v>
      </c>
      <c r="D319" s="383">
        <f>xx!H55</f>
        <v>2800</v>
      </c>
      <c r="E319" s="2" t="s">
        <v>527</v>
      </c>
      <c r="F319" s="379"/>
      <c r="G319" s="382" t="s">
        <v>528</v>
      </c>
      <c r="H319" s="11">
        <f>D322</f>
        <v>30</v>
      </c>
      <c r="I319" s="2" t="s">
        <v>518</v>
      </c>
      <c r="J319" s="379"/>
      <c r="K319" s="382" t="s">
        <v>601</v>
      </c>
      <c r="L319" s="11">
        <f>L317/5/1000</f>
        <v>15.679999999999996</v>
      </c>
      <c r="M319" s="387"/>
      <c r="N319" s="381"/>
      <c r="O319" s="229"/>
      <c r="P319"/>
      <c r="Q319"/>
      <c r="T319"/>
    </row>
    <row r="320" spans="1:20" ht="28.5" customHeight="1" x14ac:dyDescent="0.3">
      <c r="A320" s="228"/>
      <c r="B320" s="47"/>
      <c r="C320" s="382" t="s">
        <v>529</v>
      </c>
      <c r="D320" s="11">
        <v>0.7</v>
      </c>
      <c r="E320" s="2" t="s">
        <v>524</v>
      </c>
      <c r="F320" s="379"/>
      <c r="G320" s="382" t="s">
        <v>530</v>
      </c>
      <c r="H320" s="11">
        <f>D323</f>
        <v>-10</v>
      </c>
      <c r="I320" s="2" t="s">
        <v>518</v>
      </c>
      <c r="J320" s="379"/>
      <c r="K320" s="455"/>
      <c r="L320" s="455"/>
      <c r="M320" s="455"/>
      <c r="N320" s="381"/>
      <c r="O320" s="229"/>
      <c r="P320"/>
      <c r="Q320"/>
      <c r="T320"/>
    </row>
    <row r="321" spans="1:20" ht="28.5" customHeight="1" x14ac:dyDescent="0.3">
      <c r="A321" s="228"/>
      <c r="B321" s="47"/>
      <c r="C321" s="382" t="s">
        <v>531</v>
      </c>
      <c r="D321" s="383" t="s">
        <v>96</v>
      </c>
      <c r="E321" s="2" t="s">
        <v>532</v>
      </c>
      <c r="F321" s="379"/>
      <c r="G321" s="382" t="s">
        <v>533</v>
      </c>
      <c r="H321" s="2">
        <f>D324</f>
        <v>21</v>
      </c>
      <c r="I321" s="2" t="s">
        <v>534</v>
      </c>
      <c r="J321" s="379"/>
      <c r="K321" s="455"/>
      <c r="L321" s="455"/>
      <c r="M321" s="455"/>
      <c r="N321" s="381"/>
      <c r="O321" s="229"/>
      <c r="P321"/>
      <c r="Q321"/>
      <c r="T321"/>
    </row>
    <row r="322" spans="1:20" ht="28.5" customHeight="1" x14ac:dyDescent="0.3">
      <c r="A322" s="228"/>
      <c r="B322" s="47"/>
      <c r="C322" s="382" t="s">
        <v>535</v>
      </c>
      <c r="D322" s="11">
        <v>30</v>
      </c>
      <c r="E322" s="2" t="s">
        <v>518</v>
      </c>
      <c r="F322" s="379"/>
      <c r="G322" s="382" t="s">
        <v>536</v>
      </c>
      <c r="H322" s="2">
        <v>150</v>
      </c>
      <c r="I322" s="21" t="s">
        <v>537</v>
      </c>
      <c r="J322" s="379"/>
      <c r="K322" s="379"/>
      <c r="L322" s="375"/>
      <c r="M322" s="379"/>
      <c r="N322" s="381"/>
      <c r="O322" s="229"/>
      <c r="P322"/>
      <c r="Q322"/>
      <c r="T322"/>
    </row>
    <row r="323" spans="1:20" ht="28.5" customHeight="1" x14ac:dyDescent="0.3">
      <c r="A323" s="228"/>
      <c r="B323" s="47"/>
      <c r="C323" s="382" t="s">
        <v>538</v>
      </c>
      <c r="D323" s="408">
        <v>-10</v>
      </c>
      <c r="E323" s="2" t="s">
        <v>518</v>
      </c>
      <c r="F323" s="379"/>
      <c r="G323" s="2"/>
      <c r="H323" s="21"/>
      <c r="I323" s="21"/>
      <c r="J323" s="379"/>
      <c r="K323" s="379"/>
      <c r="L323" s="375"/>
      <c r="M323" s="379"/>
      <c r="N323" s="381"/>
      <c r="O323" s="229"/>
      <c r="P323"/>
      <c r="Q323"/>
      <c r="T323"/>
    </row>
    <row r="324" spans="1:20" ht="28.5" customHeight="1" x14ac:dyDescent="0.3">
      <c r="A324" s="228"/>
      <c r="B324" s="47"/>
      <c r="C324" s="382" t="s">
        <v>539</v>
      </c>
      <c r="D324" s="2">
        <v>21</v>
      </c>
      <c r="E324" s="2" t="s">
        <v>534</v>
      </c>
      <c r="F324" s="379"/>
      <c r="G324" s="389" t="s">
        <v>540</v>
      </c>
      <c r="H324" s="390">
        <f>((D319*D320)/(H321*H322))*(LN((H319)-(H317))/((H320)-(H317)))</f>
        <v>0.47371799872697301</v>
      </c>
      <c r="I324" s="389" t="s">
        <v>541</v>
      </c>
      <c r="J324" s="379"/>
      <c r="K324" s="388"/>
      <c r="L324" s="391"/>
      <c r="M324" s="388"/>
      <c r="N324" s="381"/>
      <c r="O324" s="229"/>
      <c r="P324"/>
      <c r="Q324"/>
      <c r="T324"/>
    </row>
    <row r="325" spans="1:20" ht="28.5" customHeight="1" x14ac:dyDescent="0.3">
      <c r="A325" s="228"/>
      <c r="B325" s="47"/>
      <c r="C325" s="392" t="s">
        <v>542</v>
      </c>
      <c r="D325" s="393">
        <f>D319*D320*(D322-D323)</f>
        <v>78399.999999999985</v>
      </c>
      <c r="E325" s="389" t="s">
        <v>543</v>
      </c>
      <c r="F325" s="379"/>
      <c r="G325" s="670" t="s">
        <v>544</v>
      </c>
      <c r="H325" s="671"/>
      <c r="I325" s="672"/>
      <c r="J325" s="379"/>
      <c r="K325" s="388"/>
      <c r="L325" s="397"/>
      <c r="M325" s="388"/>
      <c r="N325" s="381"/>
      <c r="O325" s="229"/>
      <c r="P325"/>
      <c r="Q325"/>
      <c r="T325"/>
    </row>
    <row r="326" spans="1:20" ht="28.5" customHeight="1" x14ac:dyDescent="0.3">
      <c r="A326" s="228"/>
      <c r="B326" s="47"/>
      <c r="C326" s="409"/>
      <c r="D326" s="410"/>
      <c r="E326" s="411"/>
      <c r="F326" s="379"/>
      <c r="G326" s="398" t="s">
        <v>545</v>
      </c>
      <c r="H326" s="399">
        <v>60</v>
      </c>
      <c r="I326" s="400" t="s">
        <v>546</v>
      </c>
      <c r="J326" s="379"/>
      <c r="K326" s="388"/>
      <c r="L326" s="397"/>
      <c r="M326" s="388"/>
      <c r="N326" s="381"/>
      <c r="O326" s="229"/>
      <c r="P326"/>
      <c r="Q326"/>
      <c r="T326"/>
    </row>
    <row r="327" spans="1:20" ht="28.5" customHeight="1" x14ac:dyDescent="0.3">
      <c r="A327" s="228"/>
      <c r="B327" s="47"/>
      <c r="C327" s="409"/>
      <c r="D327" s="410"/>
      <c r="E327" s="411"/>
      <c r="F327" s="379"/>
      <c r="G327" s="398" t="s">
        <v>545</v>
      </c>
      <c r="H327" s="404">
        <f>H326/60</f>
        <v>1</v>
      </c>
      <c r="I327" s="400" t="s">
        <v>541</v>
      </c>
      <c r="J327" s="379"/>
      <c r="K327" s="388"/>
      <c r="L327" s="397"/>
      <c r="M327" s="388"/>
      <c r="N327" s="381"/>
      <c r="O327" s="229"/>
      <c r="P327"/>
      <c r="Q327"/>
      <c r="T327"/>
    </row>
    <row r="328" spans="1:20" ht="28.5" customHeight="1" thickBot="1" x14ac:dyDescent="0.35">
      <c r="A328" s="228"/>
      <c r="B328" s="402"/>
      <c r="C328" s="403"/>
      <c r="D328" s="403"/>
      <c r="E328" s="403"/>
      <c r="F328" s="403"/>
      <c r="G328" s="403"/>
      <c r="H328" s="403"/>
      <c r="I328" s="403"/>
      <c r="J328" s="403"/>
      <c r="K328" s="403"/>
      <c r="L328" s="405"/>
      <c r="M328" s="403"/>
      <c r="N328" s="406"/>
      <c r="O328" s="229"/>
      <c r="P328"/>
      <c r="Q328"/>
      <c r="T328"/>
    </row>
    <row r="329" spans="1:20" ht="55.05" customHeight="1" thickBot="1" x14ac:dyDescent="0.35">
      <c r="A329" s="228"/>
      <c r="B329" s="412" t="s">
        <v>498</v>
      </c>
      <c r="C329" s="66" t="s">
        <v>499</v>
      </c>
      <c r="D329" s="66" t="s">
        <v>500</v>
      </c>
      <c r="E329" s="66" t="s">
        <v>501</v>
      </c>
      <c r="F329" s="66" t="s">
        <v>502</v>
      </c>
      <c r="G329" s="66" t="s">
        <v>503</v>
      </c>
      <c r="H329" s="66" t="s">
        <v>504</v>
      </c>
      <c r="I329" s="66" t="s">
        <v>505</v>
      </c>
      <c r="J329" s="66" t="s">
        <v>506</v>
      </c>
      <c r="K329" s="66" t="s">
        <v>507</v>
      </c>
      <c r="L329" s="66" t="s">
        <v>508</v>
      </c>
      <c r="M329" s="708" t="s">
        <v>581</v>
      </c>
      <c r="N329" s="709"/>
      <c r="O329" s="229"/>
      <c r="P329"/>
      <c r="Q329"/>
      <c r="T329"/>
    </row>
    <row r="330" spans="1:20" ht="32.549999999999997" customHeight="1" thickBot="1" x14ac:dyDescent="0.35">
      <c r="A330" s="228"/>
      <c r="B330" s="413">
        <v>34</v>
      </c>
      <c r="C330" s="465" t="s">
        <v>555</v>
      </c>
      <c r="D330" s="414">
        <v>10</v>
      </c>
      <c r="E330" s="414" t="s">
        <v>511</v>
      </c>
      <c r="F330" s="415" t="s">
        <v>96</v>
      </c>
      <c r="G330" s="415">
        <v>-10</v>
      </c>
      <c r="H330" s="466" t="s">
        <v>96</v>
      </c>
      <c r="I330" s="414" t="s">
        <v>96</v>
      </c>
      <c r="J330" s="414" t="s">
        <v>96</v>
      </c>
      <c r="K330" s="415" t="s">
        <v>96</v>
      </c>
      <c r="L330" s="418">
        <f>H341</f>
        <v>4.3988099881790359E-2</v>
      </c>
      <c r="M330" s="684">
        <f>L335</f>
        <v>23.9</v>
      </c>
      <c r="N330" s="685"/>
      <c r="O330" s="229"/>
      <c r="P330"/>
      <c r="Q330"/>
      <c r="T330"/>
    </row>
    <row r="331" spans="1:20" ht="28.5" customHeight="1" x14ac:dyDescent="0.3">
      <c r="A331" s="228"/>
      <c r="B331" s="683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9"/>
      <c r="O331" s="229"/>
      <c r="P331"/>
      <c r="Q331"/>
      <c r="T331"/>
    </row>
    <row r="332" spans="1:20" ht="28.5" customHeight="1" x14ac:dyDescent="0.3">
      <c r="A332" s="228"/>
      <c r="B332" s="47"/>
      <c r="C332" s="673" t="s">
        <v>549</v>
      </c>
      <c r="D332" s="674"/>
      <c r="E332" s="675"/>
      <c r="F332" s="375"/>
      <c r="G332" s="673" t="s">
        <v>550</v>
      </c>
      <c r="H332" s="674"/>
      <c r="I332" s="675"/>
      <c r="J332" s="375"/>
      <c r="K332" s="673" t="s">
        <v>551</v>
      </c>
      <c r="L332" s="674"/>
      <c r="M332" s="675"/>
      <c r="N332" s="376"/>
      <c r="O332" s="229"/>
      <c r="P332"/>
      <c r="Q332"/>
      <c r="T332"/>
    </row>
    <row r="333" spans="1:20" ht="28.5" customHeight="1" x14ac:dyDescent="0.3">
      <c r="A333" s="228"/>
      <c r="B333" s="47"/>
      <c r="C333" s="377"/>
      <c r="D333" s="11"/>
      <c r="E333" s="378"/>
      <c r="F333" s="379"/>
      <c r="G333" s="380"/>
      <c r="H333" s="380"/>
      <c r="I333" s="380"/>
      <c r="J333" s="379"/>
      <c r="K333" s="378"/>
      <c r="L333" s="2"/>
      <c r="M333" s="378"/>
      <c r="N333" s="381"/>
      <c r="O333" s="229"/>
      <c r="P333"/>
      <c r="Q333"/>
      <c r="T333"/>
    </row>
    <row r="334" spans="1:20" ht="28.5" customHeight="1" x14ac:dyDescent="0.3">
      <c r="A334" s="228"/>
      <c r="B334" s="47"/>
      <c r="C334" s="382" t="s">
        <v>515</v>
      </c>
      <c r="D334" s="383">
        <f>D330</f>
        <v>10</v>
      </c>
      <c r="E334" s="2" t="s">
        <v>516</v>
      </c>
      <c r="F334" s="379"/>
      <c r="G334" s="382" t="s">
        <v>517</v>
      </c>
      <c r="H334" s="408">
        <v>-15</v>
      </c>
      <c r="I334" s="2" t="s">
        <v>518</v>
      </c>
      <c r="J334" s="379"/>
      <c r="K334" s="21" t="s">
        <v>519</v>
      </c>
      <c r="L334" s="163">
        <f>D342/H344</f>
        <v>21840</v>
      </c>
      <c r="M334" s="2" t="s">
        <v>520</v>
      </c>
      <c r="N334" s="381"/>
      <c r="O334" s="229"/>
      <c r="P334"/>
      <c r="Q334"/>
      <c r="T334"/>
    </row>
    <row r="335" spans="1:20" ht="38.549999999999997" customHeight="1" x14ac:dyDescent="0.3">
      <c r="A335" s="228"/>
      <c r="B335" s="47"/>
      <c r="C335" s="382" t="s">
        <v>521</v>
      </c>
      <c r="D335" s="11" t="s">
        <v>96</v>
      </c>
      <c r="E335" s="2" t="s">
        <v>522</v>
      </c>
      <c r="F335" s="379"/>
      <c r="G335" s="382" t="s">
        <v>523</v>
      </c>
      <c r="H335" s="11">
        <f>D337</f>
        <v>0.7</v>
      </c>
      <c r="I335" s="2" t="s">
        <v>524</v>
      </c>
      <c r="J335" s="379"/>
      <c r="K335" s="431" t="s">
        <v>604</v>
      </c>
      <c r="L335" s="385">
        <f>IF(L334/5/1000&lt;23.9,23.9,L334/5/1000)</f>
        <v>23.9</v>
      </c>
      <c r="M335" s="133" t="s">
        <v>525</v>
      </c>
      <c r="N335" s="381"/>
      <c r="O335" s="229"/>
      <c r="P335"/>
      <c r="Q335"/>
      <c r="T335"/>
    </row>
    <row r="336" spans="1:20" ht="28.5" customHeight="1" x14ac:dyDescent="0.3">
      <c r="A336" s="228"/>
      <c r="B336" s="47"/>
      <c r="C336" s="382" t="s">
        <v>526</v>
      </c>
      <c r="D336" s="383">
        <f>260</f>
        <v>260</v>
      </c>
      <c r="E336" s="2" t="s">
        <v>527</v>
      </c>
      <c r="F336" s="379"/>
      <c r="G336" s="382" t="s">
        <v>528</v>
      </c>
      <c r="H336" s="11">
        <f>D339</f>
        <v>30</v>
      </c>
      <c r="I336" s="2" t="s">
        <v>518</v>
      </c>
      <c r="J336" s="379"/>
      <c r="K336" s="382" t="s">
        <v>601</v>
      </c>
      <c r="L336" s="11">
        <f>L334/5/1000</f>
        <v>4.3680000000000003</v>
      </c>
      <c r="M336" s="387"/>
      <c r="N336" s="381"/>
      <c r="O336" s="229"/>
      <c r="P336"/>
      <c r="Q336"/>
      <c r="T336"/>
    </row>
    <row r="337" spans="1:20" ht="28.5" customHeight="1" x14ac:dyDescent="0.3">
      <c r="A337" s="228"/>
      <c r="B337" s="47"/>
      <c r="C337" s="382" t="s">
        <v>529</v>
      </c>
      <c r="D337" s="11">
        <v>0.7</v>
      </c>
      <c r="E337" s="2" t="s">
        <v>524</v>
      </c>
      <c r="F337" s="379"/>
      <c r="G337" s="382" t="s">
        <v>530</v>
      </c>
      <c r="H337" s="11">
        <f>D340</f>
        <v>-10</v>
      </c>
      <c r="I337" s="2" t="s">
        <v>518</v>
      </c>
      <c r="J337" s="379"/>
      <c r="K337" s="455"/>
      <c r="L337" s="455"/>
      <c r="M337" s="455"/>
      <c r="N337" s="381"/>
      <c r="O337" s="229"/>
      <c r="P337"/>
      <c r="Q337"/>
      <c r="T337"/>
    </row>
    <row r="338" spans="1:20" ht="28.5" customHeight="1" x14ac:dyDescent="0.3">
      <c r="A338" s="228"/>
      <c r="B338" s="47"/>
      <c r="C338" s="382" t="s">
        <v>531</v>
      </c>
      <c r="D338" s="383" t="s">
        <v>96</v>
      </c>
      <c r="E338" s="2" t="s">
        <v>532</v>
      </c>
      <c r="F338" s="379"/>
      <c r="G338" s="382" t="s">
        <v>533</v>
      </c>
      <c r="H338" s="2">
        <f>D341</f>
        <v>21</v>
      </c>
      <c r="I338" s="2" t="s">
        <v>534</v>
      </c>
      <c r="J338" s="379"/>
      <c r="K338" s="455"/>
      <c r="L338" s="455"/>
      <c r="M338" s="455"/>
      <c r="N338" s="381"/>
      <c r="O338" s="229"/>
      <c r="P338"/>
      <c r="Q338"/>
      <c r="T338"/>
    </row>
    <row r="339" spans="1:20" ht="28.5" customHeight="1" x14ac:dyDescent="0.3">
      <c r="A339" s="228"/>
      <c r="B339" s="47"/>
      <c r="C339" s="382" t="s">
        <v>535</v>
      </c>
      <c r="D339" s="11">
        <v>30</v>
      </c>
      <c r="E339" s="2" t="s">
        <v>518</v>
      </c>
      <c r="F339" s="379"/>
      <c r="G339" s="382" t="s">
        <v>536</v>
      </c>
      <c r="H339" s="2">
        <v>150</v>
      </c>
      <c r="I339" s="21" t="s">
        <v>537</v>
      </c>
      <c r="J339" s="379"/>
      <c r="K339" s="379"/>
      <c r="L339" s="375"/>
      <c r="M339" s="379"/>
      <c r="N339" s="381"/>
      <c r="O339" s="229"/>
      <c r="P339"/>
      <c r="Q339"/>
      <c r="T339"/>
    </row>
    <row r="340" spans="1:20" ht="28.5" customHeight="1" x14ac:dyDescent="0.3">
      <c r="A340" s="228"/>
      <c r="B340" s="47"/>
      <c r="C340" s="382" t="s">
        <v>538</v>
      </c>
      <c r="D340" s="408">
        <v>-10</v>
      </c>
      <c r="E340" s="2" t="s">
        <v>518</v>
      </c>
      <c r="F340" s="379"/>
      <c r="G340" s="2"/>
      <c r="H340" s="21"/>
      <c r="I340" s="21"/>
      <c r="J340" s="379"/>
      <c r="K340" s="379"/>
      <c r="L340" s="375"/>
      <c r="M340" s="379"/>
      <c r="N340" s="381"/>
      <c r="O340" s="229"/>
      <c r="P340"/>
      <c r="Q340"/>
      <c r="T340"/>
    </row>
    <row r="341" spans="1:20" ht="28.5" customHeight="1" x14ac:dyDescent="0.3">
      <c r="A341" s="228"/>
      <c r="B341" s="47"/>
      <c r="C341" s="382" t="s">
        <v>539</v>
      </c>
      <c r="D341" s="2">
        <v>21</v>
      </c>
      <c r="E341" s="2" t="s">
        <v>534</v>
      </c>
      <c r="F341" s="379"/>
      <c r="G341" s="389" t="s">
        <v>540</v>
      </c>
      <c r="H341" s="390">
        <f>((D336*D337)/(H338*H339))*(LN((H336)-(H334))/((H337)-(H334)))</f>
        <v>4.3988099881790359E-2</v>
      </c>
      <c r="I341" s="389" t="s">
        <v>541</v>
      </c>
      <c r="J341" s="379"/>
      <c r="K341" s="388"/>
      <c r="L341" s="391"/>
      <c r="M341" s="388"/>
      <c r="N341" s="381"/>
      <c r="O341" s="229"/>
      <c r="P341"/>
      <c r="Q341"/>
      <c r="T341"/>
    </row>
    <row r="342" spans="1:20" ht="28.5" customHeight="1" x14ac:dyDescent="0.3">
      <c r="A342" s="228"/>
      <c r="B342" s="47"/>
      <c r="C342" s="392" t="s">
        <v>542</v>
      </c>
      <c r="D342" s="393">
        <f>D336*D337*(D339-D340)</f>
        <v>7280</v>
      </c>
      <c r="E342" s="389" t="s">
        <v>543</v>
      </c>
      <c r="F342" s="379"/>
      <c r="G342" s="670" t="s">
        <v>544</v>
      </c>
      <c r="H342" s="671"/>
      <c r="I342" s="672"/>
      <c r="J342" s="379"/>
      <c r="K342" s="388"/>
      <c r="L342" s="397"/>
      <c r="M342" s="388"/>
      <c r="N342" s="381"/>
      <c r="O342" s="229"/>
      <c r="P342"/>
      <c r="Q342"/>
      <c r="T342"/>
    </row>
    <row r="343" spans="1:20" ht="28.5" customHeight="1" x14ac:dyDescent="0.3">
      <c r="A343" s="228"/>
      <c r="B343" s="47"/>
      <c r="C343" s="409"/>
      <c r="D343" s="410"/>
      <c r="E343" s="411"/>
      <c r="F343" s="379"/>
      <c r="G343" s="398" t="s">
        <v>545</v>
      </c>
      <c r="H343" s="399">
        <v>20</v>
      </c>
      <c r="I343" s="400" t="s">
        <v>546</v>
      </c>
      <c r="J343" s="379"/>
      <c r="K343" s="388"/>
      <c r="L343" s="397"/>
      <c r="M343" s="388"/>
      <c r="N343" s="381"/>
      <c r="O343" s="229"/>
      <c r="P343"/>
      <c r="Q343"/>
      <c r="T343"/>
    </row>
    <row r="344" spans="1:20" ht="28.5" customHeight="1" x14ac:dyDescent="0.3">
      <c r="A344" s="228"/>
      <c r="B344" s="47"/>
      <c r="C344" s="409"/>
      <c r="D344" s="410"/>
      <c r="E344" s="411"/>
      <c r="F344" s="379"/>
      <c r="G344" s="398" t="s">
        <v>545</v>
      </c>
      <c r="H344" s="404">
        <f>H343/60</f>
        <v>0.33333333333333331</v>
      </c>
      <c r="I344" s="400" t="s">
        <v>541</v>
      </c>
      <c r="J344" s="379"/>
      <c r="K344" s="388"/>
      <c r="L344" s="397"/>
      <c r="M344" s="388"/>
      <c r="N344" s="381"/>
      <c r="O344" s="229"/>
      <c r="P344"/>
      <c r="Q344"/>
      <c r="T344"/>
    </row>
    <row r="345" spans="1:20" ht="28.5" customHeight="1" thickBot="1" x14ac:dyDescent="0.35">
      <c r="A345" s="228"/>
      <c r="B345" s="402"/>
      <c r="C345" s="403"/>
      <c r="D345" s="403"/>
      <c r="E345" s="403"/>
      <c r="F345" s="403"/>
      <c r="G345" s="403"/>
      <c r="H345" s="403"/>
      <c r="I345" s="403"/>
      <c r="J345" s="403"/>
      <c r="K345" s="403"/>
      <c r="L345" s="405"/>
      <c r="M345" s="403"/>
      <c r="N345" s="406"/>
      <c r="O345" s="229"/>
      <c r="P345"/>
      <c r="Q345"/>
      <c r="T345"/>
    </row>
    <row r="346" spans="1:20" ht="56.55" customHeight="1" thickBot="1" x14ac:dyDescent="0.35">
      <c r="A346" s="228"/>
      <c r="B346" s="436" t="s">
        <v>498</v>
      </c>
      <c r="C346" s="437" t="s">
        <v>499</v>
      </c>
      <c r="D346" s="437" t="s">
        <v>500</v>
      </c>
      <c r="E346" s="437" t="s">
        <v>501</v>
      </c>
      <c r="F346" s="437" t="s">
        <v>502</v>
      </c>
      <c r="G346" s="437" t="s">
        <v>503</v>
      </c>
      <c r="H346" s="437" t="s">
        <v>504</v>
      </c>
      <c r="I346" s="437" t="s">
        <v>505</v>
      </c>
      <c r="J346" s="437" t="s">
        <v>506</v>
      </c>
      <c r="K346" s="437" t="s">
        <v>507</v>
      </c>
      <c r="L346" s="66" t="s">
        <v>508</v>
      </c>
      <c r="M346" s="692" t="s">
        <v>509</v>
      </c>
      <c r="N346" s="693"/>
      <c r="O346" s="229"/>
      <c r="P346"/>
      <c r="Q346"/>
      <c r="T346"/>
    </row>
    <row r="347" spans="1:20" ht="32.549999999999997" customHeight="1" thickBot="1" x14ac:dyDescent="0.35">
      <c r="A347" s="228"/>
      <c r="B347" s="369">
        <v>35</v>
      </c>
      <c r="C347" s="239" t="s">
        <v>555</v>
      </c>
      <c r="D347" s="212">
        <v>10</v>
      </c>
      <c r="E347" s="212" t="s">
        <v>511</v>
      </c>
      <c r="F347" s="222" t="s">
        <v>96</v>
      </c>
      <c r="G347" s="222">
        <v>33</v>
      </c>
      <c r="H347" s="370" t="s">
        <v>96</v>
      </c>
      <c r="I347" s="212" t="s">
        <v>96</v>
      </c>
      <c r="J347" s="212" t="s">
        <v>96</v>
      </c>
      <c r="K347" s="222" t="s">
        <v>96</v>
      </c>
      <c r="L347" s="371">
        <f>H361+H389+H375</f>
        <v>3</v>
      </c>
      <c r="M347" s="681">
        <f>L352</f>
        <v>23.9</v>
      </c>
      <c r="N347" s="682"/>
      <c r="O347" s="229"/>
      <c r="P347"/>
      <c r="Q347"/>
      <c r="T347"/>
    </row>
    <row r="348" spans="1:20" ht="28.5" customHeight="1" x14ac:dyDescent="0.3">
      <c r="A348" s="228"/>
      <c r="B348" s="683"/>
      <c r="C348" s="628"/>
      <c r="D348" s="628"/>
      <c r="E348" s="628"/>
      <c r="F348" s="628"/>
      <c r="G348" s="628"/>
      <c r="H348" s="628"/>
      <c r="I348" s="628"/>
      <c r="J348" s="628"/>
      <c r="K348" s="628"/>
      <c r="L348" s="628"/>
      <c r="M348" s="628"/>
      <c r="N348" s="629"/>
      <c r="O348" s="229"/>
      <c r="P348"/>
      <c r="Q348"/>
      <c r="T348"/>
    </row>
    <row r="349" spans="1:20" ht="28.5" customHeight="1" x14ac:dyDescent="0.3">
      <c r="A349" s="228"/>
      <c r="B349" s="47"/>
      <c r="C349" s="673" t="s">
        <v>512</v>
      </c>
      <c r="D349" s="674"/>
      <c r="E349" s="675"/>
      <c r="F349" s="375"/>
      <c r="G349" s="673" t="s">
        <v>513</v>
      </c>
      <c r="H349" s="674"/>
      <c r="I349" s="675"/>
      <c r="J349" s="375"/>
      <c r="K349" s="673" t="s">
        <v>514</v>
      </c>
      <c r="L349" s="674"/>
      <c r="M349" s="675"/>
      <c r="N349" s="376"/>
      <c r="O349" s="229"/>
      <c r="P349"/>
      <c r="Q349"/>
      <c r="T349"/>
    </row>
    <row r="350" spans="1:20" ht="28.5" customHeight="1" x14ac:dyDescent="0.3">
      <c r="A350" s="228"/>
      <c r="B350" s="47"/>
      <c r="C350" s="377"/>
      <c r="D350" s="11"/>
      <c r="E350" s="378"/>
      <c r="F350" s="379"/>
      <c r="G350" s="380"/>
      <c r="H350" s="380"/>
      <c r="I350" s="380"/>
      <c r="J350" s="379"/>
      <c r="K350" s="378"/>
      <c r="L350" s="2"/>
      <c r="M350" s="378"/>
      <c r="N350" s="381"/>
      <c r="O350" s="229"/>
      <c r="P350"/>
      <c r="Q350"/>
      <c r="T350"/>
    </row>
    <row r="351" spans="1:20" ht="28.5" customHeight="1" x14ac:dyDescent="0.3">
      <c r="A351" s="228"/>
      <c r="B351" s="47"/>
      <c r="C351" s="382" t="s">
        <v>515</v>
      </c>
      <c r="D351" s="383">
        <f>D347</f>
        <v>10</v>
      </c>
      <c r="E351" s="2" t="s">
        <v>516</v>
      </c>
      <c r="F351" s="379"/>
      <c r="G351" s="382" t="s">
        <v>517</v>
      </c>
      <c r="H351" s="3">
        <v>7</v>
      </c>
      <c r="I351" s="2" t="s">
        <v>518</v>
      </c>
      <c r="J351" s="379"/>
      <c r="K351" s="21" t="s">
        <v>519</v>
      </c>
      <c r="L351" s="163">
        <f>D359/H361</f>
        <v>76631.099999999991</v>
      </c>
      <c r="M351" s="2" t="s">
        <v>520</v>
      </c>
      <c r="N351" s="381"/>
      <c r="O351" s="229"/>
      <c r="P351"/>
      <c r="Q351"/>
      <c r="T351"/>
    </row>
    <row r="352" spans="1:20" ht="38.549999999999997" customHeight="1" x14ac:dyDescent="0.3">
      <c r="A352" s="228"/>
      <c r="B352" s="47"/>
      <c r="C352" s="382" t="s">
        <v>521</v>
      </c>
      <c r="D352" s="11" t="s">
        <v>96</v>
      </c>
      <c r="E352" s="2" t="s">
        <v>522</v>
      </c>
      <c r="F352" s="379"/>
      <c r="G352" s="382" t="s">
        <v>523</v>
      </c>
      <c r="H352" s="11">
        <f>D354</f>
        <v>0.7</v>
      </c>
      <c r="I352" s="2" t="s">
        <v>524</v>
      </c>
      <c r="J352" s="379"/>
      <c r="K352" s="431" t="s">
        <v>604</v>
      </c>
      <c r="L352" s="385">
        <f>IF(L351/5/1000&lt;23.9,23.9,L351/5/1000)</f>
        <v>23.9</v>
      </c>
      <c r="M352" s="133" t="s">
        <v>525</v>
      </c>
      <c r="N352" s="381"/>
      <c r="O352" s="229"/>
      <c r="P352"/>
      <c r="Q352"/>
      <c r="T352"/>
    </row>
    <row r="353" spans="1:20" ht="28.5" customHeight="1" x14ac:dyDescent="0.3">
      <c r="A353" s="228"/>
      <c r="B353" s="47"/>
      <c r="C353" s="382" t="s">
        <v>526</v>
      </c>
      <c r="D353" s="11">
        <f>xx!J57</f>
        <v>8421</v>
      </c>
      <c r="E353" s="2" t="s">
        <v>527</v>
      </c>
      <c r="F353" s="379"/>
      <c r="G353" s="382" t="s">
        <v>528</v>
      </c>
      <c r="H353" s="11">
        <f>D356</f>
        <v>-10</v>
      </c>
      <c r="I353" s="2" t="s">
        <v>518</v>
      </c>
      <c r="J353" s="379"/>
      <c r="K353" s="382" t="s">
        <v>601</v>
      </c>
      <c r="L353" s="11">
        <f>L351/5/1000</f>
        <v>15.326219999999998</v>
      </c>
      <c r="M353" s="387"/>
      <c r="N353" s="381"/>
      <c r="O353" s="229"/>
      <c r="P353"/>
      <c r="Q353"/>
      <c r="T353"/>
    </row>
    <row r="354" spans="1:20" ht="28.5" customHeight="1" x14ac:dyDescent="0.3">
      <c r="A354" s="228"/>
      <c r="B354" s="47"/>
      <c r="C354" s="382" t="s">
        <v>529</v>
      </c>
      <c r="D354" s="11">
        <v>0.7</v>
      </c>
      <c r="E354" s="2" t="s">
        <v>524</v>
      </c>
      <c r="F354" s="379"/>
      <c r="G354" s="382" t="s">
        <v>530</v>
      </c>
      <c r="H354" s="11">
        <f>D357</f>
        <v>3</v>
      </c>
      <c r="I354" s="2" t="s">
        <v>518</v>
      </c>
      <c r="J354" s="379"/>
      <c r="K354" s="455"/>
      <c r="L354" s="455"/>
      <c r="M354" s="455"/>
      <c r="N354" s="381"/>
      <c r="O354" s="229"/>
      <c r="P354"/>
      <c r="Q354"/>
      <c r="T354"/>
    </row>
    <row r="355" spans="1:20" ht="28.5" customHeight="1" x14ac:dyDescent="0.3">
      <c r="A355" s="228"/>
      <c r="B355" s="47"/>
      <c r="C355" s="382" t="s">
        <v>531</v>
      </c>
      <c r="D355" s="383" t="s">
        <v>96</v>
      </c>
      <c r="E355" s="2" t="s">
        <v>532</v>
      </c>
      <c r="F355" s="379"/>
      <c r="G355" s="382" t="s">
        <v>533</v>
      </c>
      <c r="H355" s="2">
        <f>D358</f>
        <v>21</v>
      </c>
      <c r="I355" s="2" t="s">
        <v>534</v>
      </c>
      <c r="J355" s="379"/>
      <c r="K355" s="455"/>
      <c r="L355" s="455"/>
      <c r="M355" s="455"/>
      <c r="N355" s="381"/>
      <c r="O355" s="229"/>
      <c r="P355"/>
      <c r="Q355"/>
      <c r="T355"/>
    </row>
    <row r="356" spans="1:20" ht="28.5" customHeight="1" x14ac:dyDescent="0.3">
      <c r="A356" s="228"/>
      <c r="B356" s="47"/>
      <c r="C356" s="382" t="s">
        <v>535</v>
      </c>
      <c r="D356" s="11">
        <v>-10</v>
      </c>
      <c r="E356" s="2" t="s">
        <v>518</v>
      </c>
      <c r="F356" s="379"/>
      <c r="G356" s="382" t="s">
        <v>536</v>
      </c>
      <c r="H356" s="2">
        <v>175</v>
      </c>
      <c r="I356" s="21" t="s">
        <v>537</v>
      </c>
      <c r="J356" s="379"/>
      <c r="K356" s="379"/>
      <c r="L356" s="375"/>
      <c r="M356" s="379"/>
      <c r="N356" s="381"/>
      <c r="O356" s="229"/>
      <c r="P356"/>
      <c r="Q356"/>
      <c r="T356"/>
    </row>
    <row r="357" spans="1:20" ht="28.5" customHeight="1" x14ac:dyDescent="0.3">
      <c r="A357" s="228"/>
      <c r="B357" s="47"/>
      <c r="C357" s="382" t="s">
        <v>538</v>
      </c>
      <c r="D357" s="11">
        <v>3</v>
      </c>
      <c r="E357" s="2" t="s">
        <v>518</v>
      </c>
      <c r="F357" s="379"/>
      <c r="G357" s="2"/>
      <c r="H357" s="21"/>
      <c r="I357" s="21"/>
      <c r="J357" s="379"/>
      <c r="K357" s="379"/>
      <c r="L357" s="375"/>
      <c r="M357" s="379"/>
      <c r="N357" s="381"/>
      <c r="O357" s="229"/>
      <c r="P357"/>
      <c r="Q357"/>
      <c r="T357"/>
    </row>
    <row r="358" spans="1:20" ht="28.5" customHeight="1" x14ac:dyDescent="0.3">
      <c r="A358" s="228"/>
      <c r="B358" s="47"/>
      <c r="C358" s="382" t="s">
        <v>539</v>
      </c>
      <c r="D358" s="2">
        <v>21</v>
      </c>
      <c r="E358" s="378" t="s">
        <v>534</v>
      </c>
      <c r="F358" s="379"/>
      <c r="G358" s="389" t="s">
        <v>540</v>
      </c>
      <c r="H358" s="390">
        <f>((D353*D354)/(H355*H356))*(LN((H353-H351)/(H354-H351)))</f>
        <v>2.3208580486298658</v>
      </c>
      <c r="I358" s="389" t="s">
        <v>541</v>
      </c>
      <c r="J358" s="379"/>
      <c r="K358" s="388"/>
      <c r="L358" s="391"/>
      <c r="M358" s="388"/>
      <c r="N358" s="381"/>
      <c r="O358" s="229"/>
      <c r="P358"/>
      <c r="Q358"/>
      <c r="T358"/>
    </row>
    <row r="359" spans="1:20" ht="28.5" customHeight="1" x14ac:dyDescent="0.3">
      <c r="A359" s="228"/>
      <c r="B359" s="47"/>
      <c r="C359" s="392" t="s">
        <v>542</v>
      </c>
      <c r="D359" s="393">
        <f>D353*D354*(D357-D356)</f>
        <v>76631.099999999991</v>
      </c>
      <c r="E359" s="389" t="s">
        <v>543</v>
      </c>
      <c r="F359" s="379"/>
      <c r="G359" s="670" t="s">
        <v>544</v>
      </c>
      <c r="H359" s="671"/>
      <c r="I359" s="672"/>
      <c r="J359" s="379"/>
      <c r="K359" s="388"/>
      <c r="L359" s="397"/>
      <c r="M359" s="388"/>
      <c r="N359" s="381"/>
      <c r="O359" s="229"/>
      <c r="P359"/>
      <c r="Q359"/>
      <c r="T359"/>
    </row>
    <row r="360" spans="1:20" ht="28.5" customHeight="1" x14ac:dyDescent="0.3">
      <c r="A360" s="228"/>
      <c r="B360" s="47"/>
      <c r="C360" s="379"/>
      <c r="D360" s="375"/>
      <c r="E360" s="379"/>
      <c r="F360" s="379"/>
      <c r="G360" s="398" t="s">
        <v>545</v>
      </c>
      <c r="H360" s="399">
        <v>60</v>
      </c>
      <c r="I360" s="400" t="s">
        <v>546</v>
      </c>
      <c r="J360" s="379"/>
      <c r="K360" s="388"/>
      <c r="L360" s="401"/>
      <c r="M360" s="401"/>
      <c r="N360" s="381"/>
      <c r="O360" s="229"/>
      <c r="P360"/>
      <c r="Q360"/>
      <c r="T360"/>
    </row>
    <row r="361" spans="1:20" ht="28.5" customHeight="1" x14ac:dyDescent="0.3">
      <c r="A361" s="228"/>
      <c r="B361" s="47"/>
      <c r="C361" s="379"/>
      <c r="D361" s="375"/>
      <c r="E361" s="379"/>
      <c r="F361" s="379"/>
      <c r="G361" s="398" t="s">
        <v>545</v>
      </c>
      <c r="H361" s="404">
        <f>H360/60</f>
        <v>1</v>
      </c>
      <c r="I361" s="400" t="s">
        <v>541</v>
      </c>
      <c r="J361" s="379"/>
      <c r="K361" s="388"/>
      <c r="L361" s="401"/>
      <c r="M361" s="401"/>
      <c r="N361" s="381"/>
      <c r="O361" s="229"/>
      <c r="P361"/>
      <c r="Q361"/>
      <c r="T361"/>
    </row>
    <row r="362" spans="1:20" ht="28.5" customHeight="1" x14ac:dyDescent="0.3">
      <c r="A362" s="228"/>
      <c r="B362" s="47"/>
      <c r="C362" s="379"/>
      <c r="D362" s="375"/>
      <c r="E362" s="379"/>
      <c r="F362" s="379"/>
      <c r="G362" s="422"/>
      <c r="H362" s="423"/>
      <c r="I362" s="424"/>
      <c r="J362" s="379"/>
      <c r="K362" s="388"/>
      <c r="L362" s="401"/>
      <c r="M362" s="401"/>
      <c r="N362" s="381"/>
      <c r="O362" s="229"/>
      <c r="P362"/>
      <c r="Q362"/>
      <c r="T362"/>
    </row>
    <row r="363" spans="1:20" ht="30" customHeight="1" x14ac:dyDescent="0.3">
      <c r="A363" s="228"/>
      <c r="B363" s="47"/>
      <c r="C363" s="673" t="s">
        <v>577</v>
      </c>
      <c r="D363" s="674"/>
      <c r="E363" s="675"/>
      <c r="F363" s="375"/>
      <c r="G363" s="673" t="s">
        <v>578</v>
      </c>
      <c r="H363" s="674"/>
      <c r="I363" s="675"/>
      <c r="J363" s="375"/>
      <c r="K363" s="673" t="s">
        <v>579</v>
      </c>
      <c r="L363" s="674"/>
      <c r="M363" s="675"/>
      <c r="N363" s="376"/>
      <c r="O363" s="346"/>
      <c r="P363"/>
      <c r="Q363"/>
      <c r="T363"/>
    </row>
    <row r="364" spans="1:20" ht="30" customHeight="1" x14ac:dyDescent="0.3">
      <c r="A364" s="228"/>
      <c r="B364" s="47"/>
      <c r="C364" s="377"/>
      <c r="D364" s="11"/>
      <c r="E364" s="378"/>
      <c r="F364" s="379"/>
      <c r="G364" s="380"/>
      <c r="H364" s="380"/>
      <c r="I364" s="380"/>
      <c r="J364" s="379"/>
      <c r="K364" s="378"/>
      <c r="L364" s="2"/>
      <c r="M364" s="378"/>
      <c r="N364" s="381"/>
      <c r="O364" s="346"/>
      <c r="P364"/>
      <c r="Q364"/>
      <c r="T364"/>
    </row>
    <row r="365" spans="1:20" ht="30" customHeight="1" x14ac:dyDescent="0.3">
      <c r="A365" s="228"/>
      <c r="B365" s="47"/>
      <c r="C365" s="382" t="s">
        <v>515</v>
      </c>
      <c r="D365" s="383">
        <f>D347</f>
        <v>10</v>
      </c>
      <c r="E365" s="2" t="s">
        <v>516</v>
      </c>
      <c r="F365" s="379"/>
      <c r="G365" s="382" t="s">
        <v>517</v>
      </c>
      <c r="H365" s="3">
        <v>32</v>
      </c>
      <c r="I365" s="2" t="s">
        <v>518</v>
      </c>
      <c r="J365" s="379"/>
      <c r="K365" s="21" t="s">
        <v>519</v>
      </c>
      <c r="L365" s="163">
        <f>D373/H375</f>
        <v>82525.8</v>
      </c>
      <c r="M365" s="2" t="s">
        <v>520</v>
      </c>
      <c r="N365" s="381"/>
      <c r="O365" s="346"/>
      <c r="P365"/>
      <c r="Q365"/>
      <c r="T365"/>
    </row>
    <row r="366" spans="1:20" ht="30" customHeight="1" x14ac:dyDescent="0.3">
      <c r="A366" s="228"/>
      <c r="B366" s="47"/>
      <c r="C366" s="382" t="s">
        <v>521</v>
      </c>
      <c r="D366" s="11" t="s">
        <v>96</v>
      </c>
      <c r="E366" s="2" t="s">
        <v>522</v>
      </c>
      <c r="F366" s="379"/>
      <c r="G366" s="382" t="s">
        <v>523</v>
      </c>
      <c r="H366" s="11">
        <f>D368</f>
        <v>0.7</v>
      </c>
      <c r="I366" s="2" t="s">
        <v>524</v>
      </c>
      <c r="J366" s="379"/>
      <c r="K366" s="431" t="s">
        <v>604</v>
      </c>
      <c r="L366" s="385">
        <f>IF(L365/5/1000&lt;23.9,23.9,L365/5/1000)</f>
        <v>23.9</v>
      </c>
      <c r="M366" s="133" t="s">
        <v>525</v>
      </c>
      <c r="N366" s="381"/>
      <c r="O366" s="346"/>
      <c r="P366"/>
      <c r="Q366"/>
      <c r="T366"/>
    </row>
    <row r="367" spans="1:20" ht="30" customHeight="1" x14ac:dyDescent="0.3">
      <c r="A367" s="228"/>
      <c r="B367" s="47"/>
      <c r="C367" s="382" t="s">
        <v>526</v>
      </c>
      <c r="D367" s="11">
        <f>D353</f>
        <v>8421</v>
      </c>
      <c r="E367" s="2" t="s">
        <v>527</v>
      </c>
      <c r="F367" s="379"/>
      <c r="G367" s="382" t="s">
        <v>528</v>
      </c>
      <c r="H367" s="11">
        <f>D370</f>
        <v>3</v>
      </c>
      <c r="I367" s="2" t="s">
        <v>518</v>
      </c>
      <c r="J367" s="379"/>
      <c r="K367" s="382" t="s">
        <v>601</v>
      </c>
      <c r="L367" s="11">
        <f>L365/5/1000</f>
        <v>16.50516</v>
      </c>
      <c r="M367" s="387"/>
      <c r="N367" s="381"/>
      <c r="O367" s="346"/>
      <c r="P367"/>
      <c r="Q367"/>
      <c r="T367"/>
    </row>
    <row r="368" spans="1:20" ht="30" customHeight="1" x14ac:dyDescent="0.3">
      <c r="A368" s="228"/>
      <c r="B368" s="47"/>
      <c r="C368" s="382" t="s">
        <v>529</v>
      </c>
      <c r="D368" s="11">
        <v>0.7</v>
      </c>
      <c r="E368" s="2" t="s">
        <v>524</v>
      </c>
      <c r="F368" s="379"/>
      <c r="G368" s="382" t="s">
        <v>530</v>
      </c>
      <c r="H368" s="11">
        <f>D371</f>
        <v>24</v>
      </c>
      <c r="I368" s="2" t="s">
        <v>518</v>
      </c>
      <c r="J368" s="379"/>
      <c r="K368" s="455"/>
      <c r="L368" s="464"/>
      <c r="M368" s="464"/>
      <c r="N368" s="381"/>
      <c r="O368" s="346"/>
      <c r="P368"/>
      <c r="Q368"/>
      <c r="T368"/>
    </row>
    <row r="369" spans="1:20" ht="30" customHeight="1" x14ac:dyDescent="0.3">
      <c r="A369" s="228"/>
      <c r="B369" s="47"/>
      <c r="C369" s="382" t="s">
        <v>531</v>
      </c>
      <c r="D369" s="383" t="s">
        <v>96</v>
      </c>
      <c r="E369" s="2" t="s">
        <v>532</v>
      </c>
      <c r="F369" s="379"/>
      <c r="G369" s="382" t="s">
        <v>533</v>
      </c>
      <c r="H369" s="2">
        <f>D372</f>
        <v>21</v>
      </c>
      <c r="I369" s="2" t="s">
        <v>534</v>
      </c>
      <c r="J369" s="379"/>
      <c r="K369" s="464"/>
      <c r="L369" s="464"/>
      <c r="M369" s="464"/>
      <c r="N369" s="381"/>
      <c r="O369" s="346"/>
      <c r="P369"/>
      <c r="Q369"/>
      <c r="T369"/>
    </row>
    <row r="370" spans="1:20" ht="30" customHeight="1" x14ac:dyDescent="0.3">
      <c r="A370" s="228"/>
      <c r="B370" s="47"/>
      <c r="C370" s="382" t="s">
        <v>535</v>
      </c>
      <c r="D370" s="11">
        <f>D357</f>
        <v>3</v>
      </c>
      <c r="E370" s="2" t="s">
        <v>518</v>
      </c>
      <c r="F370" s="379"/>
      <c r="G370" s="382" t="s">
        <v>536</v>
      </c>
      <c r="H370" s="2">
        <v>200</v>
      </c>
      <c r="I370" s="21" t="s">
        <v>537</v>
      </c>
      <c r="J370" s="379"/>
      <c r="K370" s="379"/>
      <c r="L370" s="375"/>
      <c r="M370" s="379"/>
      <c r="N370" s="381"/>
      <c r="O370" s="346"/>
      <c r="P370"/>
      <c r="Q370"/>
      <c r="T370"/>
    </row>
    <row r="371" spans="1:20" ht="30" customHeight="1" x14ac:dyDescent="0.3">
      <c r="A371" s="228"/>
      <c r="B371" s="47"/>
      <c r="C371" s="382" t="s">
        <v>538</v>
      </c>
      <c r="D371" s="11">
        <v>24</v>
      </c>
      <c r="E371" s="2" t="s">
        <v>518</v>
      </c>
      <c r="F371" s="379"/>
      <c r="G371" s="2"/>
      <c r="H371" s="21"/>
      <c r="I371" s="21"/>
      <c r="J371" s="379"/>
      <c r="K371" s="379"/>
      <c r="L371" s="375"/>
      <c r="M371" s="379"/>
      <c r="N371" s="381"/>
      <c r="O371" s="346"/>
      <c r="P371"/>
      <c r="Q371"/>
      <c r="T371"/>
    </row>
    <row r="372" spans="1:20" ht="30" customHeight="1" x14ac:dyDescent="0.3">
      <c r="A372" s="228"/>
      <c r="B372" s="47"/>
      <c r="C372" s="382" t="s">
        <v>539</v>
      </c>
      <c r="D372" s="2">
        <v>21</v>
      </c>
      <c r="E372" s="378" t="s">
        <v>534</v>
      </c>
      <c r="F372" s="379"/>
      <c r="G372" s="389" t="s">
        <v>540</v>
      </c>
      <c r="H372" s="390">
        <f>((D367*D368)/(H369*H370))*(LN((H367-H365)/(H368-H365)))</f>
        <v>1.8075034936383667</v>
      </c>
      <c r="I372" s="389" t="s">
        <v>541</v>
      </c>
      <c r="J372" s="379"/>
      <c r="K372" s="388"/>
      <c r="L372" s="391"/>
      <c r="M372" s="388"/>
      <c r="N372" s="381"/>
      <c r="O372" s="346"/>
      <c r="P372"/>
      <c r="Q372"/>
      <c r="T372"/>
    </row>
    <row r="373" spans="1:20" ht="30" customHeight="1" x14ac:dyDescent="0.3">
      <c r="A373" s="228"/>
      <c r="B373" s="47"/>
      <c r="C373" s="392" t="s">
        <v>573</v>
      </c>
      <c r="D373" s="393">
        <f>D367*D368*(D371-D370)</f>
        <v>123788.7</v>
      </c>
      <c r="E373" s="389" t="s">
        <v>543</v>
      </c>
      <c r="F373" s="379"/>
      <c r="G373" s="670" t="s">
        <v>584</v>
      </c>
      <c r="H373" s="671"/>
      <c r="I373" s="672"/>
      <c r="J373" s="379"/>
      <c r="K373" s="388"/>
      <c r="L373" s="397"/>
      <c r="M373" s="388"/>
      <c r="N373" s="381"/>
      <c r="O373" s="346"/>
      <c r="P373"/>
      <c r="Q373"/>
      <c r="T373"/>
    </row>
    <row r="374" spans="1:20" ht="30" customHeight="1" x14ac:dyDescent="0.3">
      <c r="A374" s="228"/>
      <c r="B374" s="47"/>
      <c r="C374" s="409"/>
      <c r="D374" s="410"/>
      <c r="E374" s="411"/>
      <c r="F374" s="379"/>
      <c r="G374" s="398" t="s">
        <v>545</v>
      </c>
      <c r="H374" s="399">
        <v>90</v>
      </c>
      <c r="I374" s="400" t="s">
        <v>546</v>
      </c>
      <c r="J374" s="379"/>
      <c r="K374" s="388"/>
      <c r="L374" s="397"/>
      <c r="M374" s="388"/>
      <c r="N374" s="381"/>
      <c r="O374" s="346"/>
      <c r="P374"/>
      <c r="Q374"/>
      <c r="T374"/>
    </row>
    <row r="375" spans="1:20" ht="30" customHeight="1" x14ac:dyDescent="0.3">
      <c r="A375" s="228"/>
      <c r="B375" s="47"/>
      <c r="C375" s="409"/>
      <c r="D375" s="410"/>
      <c r="E375" s="411"/>
      <c r="F375" s="379"/>
      <c r="G375" s="398" t="s">
        <v>545</v>
      </c>
      <c r="H375" s="404">
        <f>H374/60</f>
        <v>1.5</v>
      </c>
      <c r="I375" s="400" t="s">
        <v>541</v>
      </c>
      <c r="J375" s="379"/>
      <c r="K375" s="388"/>
      <c r="L375" s="397"/>
      <c r="M375" s="388"/>
      <c r="N375" s="381"/>
      <c r="O375" s="346"/>
      <c r="P375"/>
      <c r="Q375"/>
      <c r="T375"/>
    </row>
    <row r="376" spans="1:20" ht="28.5" customHeight="1" x14ac:dyDescent="0.3">
      <c r="A376" s="228"/>
      <c r="B376" s="47"/>
      <c r="C376" s="379"/>
      <c r="D376" s="375"/>
      <c r="E376" s="379"/>
      <c r="F376" s="379"/>
      <c r="G376" s="422"/>
      <c r="H376" s="423"/>
      <c r="I376" s="424"/>
      <c r="J376" s="379"/>
      <c r="K376" s="388"/>
      <c r="L376" s="401"/>
      <c r="M376" s="401"/>
      <c r="N376" s="381"/>
      <c r="O376" s="229"/>
      <c r="P376"/>
      <c r="Q376"/>
      <c r="T376"/>
    </row>
    <row r="377" spans="1:20" ht="30" customHeight="1" x14ac:dyDescent="0.3">
      <c r="A377" s="228"/>
      <c r="B377" s="47"/>
      <c r="C377" s="673" t="s">
        <v>564</v>
      </c>
      <c r="D377" s="674"/>
      <c r="E377" s="675"/>
      <c r="F377" s="375"/>
      <c r="G377" s="673" t="s">
        <v>565</v>
      </c>
      <c r="H377" s="674"/>
      <c r="I377" s="675"/>
      <c r="J377" s="375"/>
      <c r="K377" s="673" t="s">
        <v>566</v>
      </c>
      <c r="L377" s="674"/>
      <c r="M377" s="675"/>
      <c r="N377" s="376"/>
      <c r="O377" s="229"/>
      <c r="P377"/>
      <c r="Q377"/>
      <c r="T377"/>
    </row>
    <row r="378" spans="1:20" ht="30" customHeight="1" x14ac:dyDescent="0.3">
      <c r="A378" s="228"/>
      <c r="B378" s="47"/>
      <c r="C378" s="438"/>
      <c r="D378" s="439"/>
      <c r="E378" s="440"/>
      <c r="F378" s="420"/>
      <c r="G378" s="441"/>
      <c r="H378" s="420"/>
      <c r="I378" s="442"/>
      <c r="J378" s="420"/>
      <c r="K378" s="443"/>
      <c r="L378" s="420"/>
      <c r="M378" s="444"/>
      <c r="N378" s="376"/>
      <c r="O378" s="229"/>
      <c r="P378"/>
      <c r="Q378"/>
      <c r="T378"/>
    </row>
    <row r="379" spans="1:20" ht="30" customHeight="1" x14ac:dyDescent="0.3">
      <c r="A379" s="228"/>
      <c r="B379" s="47"/>
      <c r="C379" s="382" t="s">
        <v>515</v>
      </c>
      <c r="D379" s="11">
        <v>10</v>
      </c>
      <c r="E379" s="2" t="s">
        <v>516</v>
      </c>
      <c r="F379" s="420"/>
      <c r="G379" s="382" t="s">
        <v>517</v>
      </c>
      <c r="H379" s="3">
        <v>143</v>
      </c>
      <c r="I379" s="2" t="s">
        <v>518</v>
      </c>
      <c r="J379" s="420"/>
      <c r="K379" s="21" t="s">
        <v>519</v>
      </c>
      <c r="L379" s="445">
        <f>D388/H389</f>
        <v>106104.59999999999</v>
      </c>
      <c r="M379" s="2" t="s">
        <v>520</v>
      </c>
      <c r="N379" s="376"/>
      <c r="O379" s="229"/>
      <c r="P379"/>
      <c r="Q379"/>
      <c r="T379"/>
    </row>
    <row r="380" spans="1:20" ht="42.75" customHeight="1" x14ac:dyDescent="0.3">
      <c r="A380" s="228"/>
      <c r="B380" s="47"/>
      <c r="C380" s="382" t="s">
        <v>521</v>
      </c>
      <c r="D380" s="11" t="s">
        <v>96</v>
      </c>
      <c r="E380" s="2" t="s">
        <v>522</v>
      </c>
      <c r="F380" s="420"/>
      <c r="G380" s="382" t="s">
        <v>523</v>
      </c>
      <c r="H380" s="11">
        <f>D382</f>
        <v>0.7</v>
      </c>
      <c r="I380" s="2" t="s">
        <v>524</v>
      </c>
      <c r="J380" s="420"/>
      <c r="K380" s="431" t="s">
        <v>569</v>
      </c>
      <c r="L380" s="462">
        <f>L379/D387</f>
        <v>208.04823529411763</v>
      </c>
      <c r="M380" s="349" t="s">
        <v>570</v>
      </c>
      <c r="N380" s="376"/>
      <c r="O380" s="229"/>
      <c r="P380"/>
      <c r="Q380"/>
      <c r="T380"/>
    </row>
    <row r="381" spans="1:20" ht="30" customHeight="1" x14ac:dyDescent="0.3">
      <c r="A381" s="228"/>
      <c r="B381" s="47"/>
      <c r="C381" s="382" t="s">
        <v>526</v>
      </c>
      <c r="D381" s="3">
        <f>D367</f>
        <v>8421</v>
      </c>
      <c r="E381" s="2" t="s">
        <v>527</v>
      </c>
      <c r="F381" s="420"/>
      <c r="G381" s="382" t="s">
        <v>528</v>
      </c>
      <c r="H381" s="11">
        <f>D384</f>
        <v>24</v>
      </c>
      <c r="I381" s="2" t="s">
        <v>518</v>
      </c>
      <c r="J381" s="420"/>
      <c r="K381" s="420"/>
      <c r="L381" s="449"/>
      <c r="M381" s="420"/>
      <c r="N381" s="376"/>
      <c r="O381" s="229"/>
      <c r="P381"/>
      <c r="Q381"/>
      <c r="T381"/>
    </row>
    <row r="382" spans="1:20" ht="30" customHeight="1" x14ac:dyDescent="0.3">
      <c r="A382" s="228"/>
      <c r="B382" s="47"/>
      <c r="C382" s="382" t="s">
        <v>529</v>
      </c>
      <c r="D382" s="11">
        <v>0.7</v>
      </c>
      <c r="E382" s="2" t="s">
        <v>524</v>
      </c>
      <c r="F382" s="420"/>
      <c r="G382" s="382" t="s">
        <v>530</v>
      </c>
      <c r="H382" s="11">
        <f>D385</f>
        <v>33</v>
      </c>
      <c r="I382" s="2" t="s">
        <v>518</v>
      </c>
      <c r="J382" s="420"/>
      <c r="K382" s="420"/>
      <c r="L382" s="449"/>
      <c r="M382" s="420"/>
      <c r="N382" s="376"/>
      <c r="O382" s="229"/>
      <c r="P382"/>
      <c r="Q382"/>
      <c r="T382"/>
    </row>
    <row r="383" spans="1:20" ht="30" customHeight="1" x14ac:dyDescent="0.3">
      <c r="A383" s="228"/>
      <c r="B383" s="47"/>
      <c r="C383" s="382" t="s">
        <v>531</v>
      </c>
      <c r="D383" s="383">
        <v>80</v>
      </c>
      <c r="E383" s="2" t="s">
        <v>532</v>
      </c>
      <c r="F383" s="420"/>
      <c r="G383" s="382" t="s">
        <v>533</v>
      </c>
      <c r="H383" s="11">
        <f>D386</f>
        <v>21</v>
      </c>
      <c r="I383" s="2" t="s">
        <v>534</v>
      </c>
      <c r="J383" s="420"/>
      <c r="K383" s="420"/>
      <c r="L383" s="375"/>
      <c r="M383" s="420"/>
      <c r="N383" s="376"/>
      <c r="O383" s="229"/>
      <c r="P383"/>
      <c r="Q383"/>
      <c r="T383"/>
    </row>
    <row r="384" spans="1:20" ht="30" customHeight="1" x14ac:dyDescent="0.3">
      <c r="A384" s="228"/>
      <c r="B384" s="47"/>
      <c r="C384" s="382" t="s">
        <v>535</v>
      </c>
      <c r="D384" s="11">
        <f>D371</f>
        <v>24</v>
      </c>
      <c r="E384" s="2" t="s">
        <v>518</v>
      </c>
      <c r="F384" s="420"/>
      <c r="G384" s="382" t="s">
        <v>536</v>
      </c>
      <c r="H384" s="2">
        <v>400</v>
      </c>
      <c r="I384" s="21" t="s">
        <v>537</v>
      </c>
      <c r="J384" s="420"/>
      <c r="K384" s="420"/>
      <c r="L384" s="420"/>
      <c r="M384" s="420"/>
      <c r="N384" s="376"/>
      <c r="O384" s="229"/>
      <c r="P384"/>
      <c r="Q384"/>
      <c r="T384"/>
    </row>
    <row r="385" spans="1:32" ht="30" customHeight="1" x14ac:dyDescent="0.3">
      <c r="A385" s="228"/>
      <c r="B385" s="47"/>
      <c r="C385" s="382" t="s">
        <v>538</v>
      </c>
      <c r="D385" s="11">
        <f>33</f>
        <v>33</v>
      </c>
      <c r="E385" s="2" t="s">
        <v>518</v>
      </c>
      <c r="F385" s="420"/>
      <c r="G385" s="2"/>
      <c r="H385" s="21"/>
      <c r="I385" s="21"/>
      <c r="J385" s="420"/>
      <c r="K385" s="420"/>
      <c r="L385" s="420"/>
      <c r="M385" s="420"/>
      <c r="N385" s="376"/>
      <c r="O385" s="229"/>
      <c r="P385"/>
      <c r="Q385"/>
      <c r="T385"/>
    </row>
    <row r="386" spans="1:32" ht="30" customHeight="1" x14ac:dyDescent="0.3">
      <c r="A386" s="228"/>
      <c r="B386" s="47"/>
      <c r="C386" s="382" t="s">
        <v>539</v>
      </c>
      <c r="D386" s="11">
        <v>21</v>
      </c>
      <c r="E386" s="2" t="s">
        <v>534</v>
      </c>
      <c r="F386" s="420"/>
      <c r="G386" s="389" t="s">
        <v>540</v>
      </c>
      <c r="H386" s="432">
        <f>((D388)/(H383*H384*(H379-D385)))</f>
        <v>5.7415909090909087E-2</v>
      </c>
      <c r="I386" s="389" t="s">
        <v>541</v>
      </c>
      <c r="J386" s="420"/>
      <c r="K386" s="420"/>
      <c r="L386" s="420"/>
      <c r="M386" s="420"/>
      <c r="N386" s="376"/>
      <c r="O386" s="229"/>
      <c r="P386"/>
      <c r="Q386"/>
      <c r="T386"/>
    </row>
    <row r="387" spans="1:32" ht="30" customHeight="1" x14ac:dyDescent="0.3">
      <c r="A387" s="228"/>
      <c r="B387" s="47"/>
      <c r="C387" s="382" t="s">
        <v>571</v>
      </c>
      <c r="D387" s="11">
        <v>510</v>
      </c>
      <c r="E387" s="2" t="s">
        <v>572</v>
      </c>
      <c r="F387" s="420"/>
      <c r="G387" s="670" t="s">
        <v>567</v>
      </c>
      <c r="H387" s="671"/>
      <c r="I387" s="672"/>
      <c r="J387" s="420"/>
      <c r="K387" s="420"/>
      <c r="L387" s="420"/>
      <c r="M387" s="420"/>
      <c r="N387" s="376"/>
      <c r="O387" s="229"/>
      <c r="P387"/>
      <c r="Q387"/>
      <c r="T387"/>
    </row>
    <row r="388" spans="1:32" ht="30" customHeight="1" x14ac:dyDescent="0.3">
      <c r="A388" s="228"/>
      <c r="B388" s="47"/>
      <c r="C388" s="392" t="s">
        <v>573</v>
      </c>
      <c r="D388" s="393">
        <f>(D381*D382*(D385-D384))</f>
        <v>53052.299999999996</v>
      </c>
      <c r="E388" s="389" t="s">
        <v>543</v>
      </c>
      <c r="F388" s="420"/>
      <c r="G388" s="398" t="s">
        <v>568</v>
      </c>
      <c r="H388" s="399">
        <v>30</v>
      </c>
      <c r="I388" s="400" t="s">
        <v>546</v>
      </c>
      <c r="J388" s="420"/>
      <c r="K388" s="420"/>
      <c r="L388" s="420"/>
      <c r="M388" s="420"/>
      <c r="N388" s="376"/>
      <c r="O388" s="229"/>
      <c r="P388"/>
      <c r="Q388"/>
      <c r="T388"/>
    </row>
    <row r="389" spans="1:32" ht="30" customHeight="1" x14ac:dyDescent="0.3">
      <c r="A389" s="228"/>
      <c r="B389" s="47"/>
      <c r="C389" s="379"/>
      <c r="D389" s="375"/>
      <c r="E389" s="379"/>
      <c r="F389" s="379"/>
      <c r="G389" s="398" t="s">
        <v>568</v>
      </c>
      <c r="H389" s="463">
        <f>H388/60</f>
        <v>0.5</v>
      </c>
      <c r="I389" s="400" t="s">
        <v>541</v>
      </c>
      <c r="J389" s="379"/>
      <c r="K389" s="388"/>
      <c r="L389" s="401"/>
      <c r="M389" s="401"/>
      <c r="N389" s="381"/>
      <c r="O389" s="229"/>
      <c r="P389"/>
      <c r="Q389"/>
      <c r="T389"/>
    </row>
    <row r="390" spans="1:32" ht="30" customHeight="1" thickBot="1" x14ac:dyDescent="0.35">
      <c r="A390" s="228"/>
      <c r="B390" s="47"/>
      <c r="C390" s="379"/>
      <c r="D390" s="375"/>
      <c r="E390" s="379"/>
      <c r="F390" s="379"/>
      <c r="G390" s="422"/>
      <c r="H390" s="467"/>
      <c r="I390" s="424"/>
      <c r="J390" s="379"/>
      <c r="K390" s="388"/>
      <c r="L390" s="401"/>
      <c r="M390" s="401"/>
      <c r="N390" s="381"/>
      <c r="O390" s="229"/>
      <c r="P390"/>
      <c r="Q390"/>
      <c r="T390"/>
    </row>
    <row r="391" spans="1:32" ht="55.5" customHeight="1" x14ac:dyDescent="0.3">
      <c r="A391" s="228"/>
      <c r="B391" s="365" t="s">
        <v>498</v>
      </c>
      <c r="C391" s="366" t="s">
        <v>499</v>
      </c>
      <c r="D391" s="366" t="s">
        <v>500</v>
      </c>
      <c r="E391" s="366" t="s">
        <v>501</v>
      </c>
      <c r="F391" s="366" t="s">
        <v>502</v>
      </c>
      <c r="G391" s="366" t="s">
        <v>503</v>
      </c>
      <c r="H391" s="366" t="s">
        <v>504</v>
      </c>
      <c r="I391" s="366" t="s">
        <v>505</v>
      </c>
      <c r="J391" s="366" t="s">
        <v>506</v>
      </c>
      <c r="K391" s="366" t="s">
        <v>507</v>
      </c>
      <c r="L391" s="366" t="s">
        <v>508</v>
      </c>
      <c r="M391" s="679" t="s">
        <v>509</v>
      </c>
      <c r="N391" s="680"/>
      <c r="O391" s="346"/>
      <c r="P391"/>
      <c r="Q391"/>
      <c r="T391"/>
    </row>
    <row r="392" spans="1:32" s="13" customFormat="1" ht="35.25" customHeight="1" thickBot="1" x14ac:dyDescent="0.35">
      <c r="A392" s="407"/>
      <c r="B392" s="369">
        <v>38</v>
      </c>
      <c r="C392" s="239" t="s">
        <v>555</v>
      </c>
      <c r="D392" s="212">
        <v>10</v>
      </c>
      <c r="E392" s="212" t="s">
        <v>511</v>
      </c>
      <c r="F392" s="222" t="s">
        <v>96</v>
      </c>
      <c r="G392" s="222">
        <v>25</v>
      </c>
      <c r="H392" s="370" t="s">
        <v>96</v>
      </c>
      <c r="I392" s="212" t="s">
        <v>96</v>
      </c>
      <c r="J392" s="212" t="s">
        <v>96</v>
      </c>
      <c r="K392" s="222" t="s">
        <v>96</v>
      </c>
      <c r="L392" s="371">
        <f>H406</f>
        <v>0.16666666666666666</v>
      </c>
      <c r="M392" s="681">
        <f>L397</f>
        <v>23.9</v>
      </c>
      <c r="N392" s="682"/>
      <c r="O392" s="346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1:32" ht="26.25" customHeight="1" x14ac:dyDescent="0.3">
      <c r="A393" s="228"/>
      <c r="B393" s="683"/>
      <c r="C393" s="628"/>
      <c r="D393" s="628"/>
      <c r="E393" s="628"/>
      <c r="F393" s="628"/>
      <c r="G393" s="628"/>
      <c r="H393" s="628"/>
      <c r="I393" s="628"/>
      <c r="J393" s="628"/>
      <c r="K393" s="628"/>
      <c r="L393" s="628"/>
      <c r="M393" s="628"/>
      <c r="N393" s="629"/>
      <c r="O393" s="346"/>
      <c r="P393"/>
      <c r="Q393"/>
      <c r="T393"/>
    </row>
    <row r="394" spans="1:32" ht="28.5" customHeight="1" x14ac:dyDescent="0.3">
      <c r="A394" s="228"/>
      <c r="B394" s="47"/>
      <c r="C394" s="673" t="s">
        <v>512</v>
      </c>
      <c r="D394" s="674"/>
      <c r="E394" s="675"/>
      <c r="F394" s="375"/>
      <c r="G394" s="673" t="s">
        <v>513</v>
      </c>
      <c r="H394" s="674"/>
      <c r="I394" s="675"/>
      <c r="J394" s="375"/>
      <c r="K394" s="673" t="s">
        <v>514</v>
      </c>
      <c r="L394" s="674"/>
      <c r="M394" s="675"/>
      <c r="N394" s="376"/>
      <c r="O394" s="346"/>
      <c r="P394"/>
      <c r="Q394"/>
      <c r="T394"/>
    </row>
    <row r="395" spans="1:32" ht="24" customHeight="1" x14ac:dyDescent="0.3">
      <c r="A395" s="228"/>
      <c r="B395" s="47"/>
      <c r="C395" s="377"/>
      <c r="D395" s="11"/>
      <c r="E395" s="378"/>
      <c r="F395" s="379"/>
      <c r="G395" s="380"/>
      <c r="H395" s="380"/>
      <c r="I395" s="380"/>
      <c r="J395" s="379"/>
      <c r="K395" s="378"/>
      <c r="L395" s="2"/>
      <c r="M395" s="378"/>
      <c r="N395" s="381"/>
      <c r="O395" s="346"/>
      <c r="P395"/>
      <c r="Q395"/>
      <c r="T395"/>
    </row>
    <row r="396" spans="1:32" ht="32.25" customHeight="1" x14ac:dyDescent="0.3">
      <c r="A396" s="228"/>
      <c r="B396" s="47"/>
      <c r="C396" s="382" t="s">
        <v>515</v>
      </c>
      <c r="D396" s="383">
        <f>D392</f>
        <v>10</v>
      </c>
      <c r="E396" s="2" t="s">
        <v>516</v>
      </c>
      <c r="F396" s="379"/>
      <c r="G396" s="382" t="s">
        <v>517</v>
      </c>
      <c r="H396" s="3">
        <v>7</v>
      </c>
      <c r="I396" s="2" t="s">
        <v>518</v>
      </c>
      <c r="J396" s="379"/>
      <c r="K396" s="21" t="s">
        <v>519</v>
      </c>
      <c r="L396" s="163">
        <f>D404/H406</f>
        <v>16800</v>
      </c>
      <c r="M396" s="2" t="s">
        <v>520</v>
      </c>
      <c r="N396" s="381"/>
      <c r="O396" s="346"/>
      <c r="P396"/>
      <c r="Q396"/>
      <c r="T396"/>
    </row>
    <row r="397" spans="1:32" ht="38.25" customHeight="1" x14ac:dyDescent="0.3">
      <c r="A397" s="228"/>
      <c r="B397" s="47"/>
      <c r="C397" s="382" t="s">
        <v>521</v>
      </c>
      <c r="D397" s="11" t="s">
        <v>96</v>
      </c>
      <c r="E397" s="2" t="s">
        <v>522</v>
      </c>
      <c r="F397" s="379"/>
      <c r="G397" s="382" t="s">
        <v>523</v>
      </c>
      <c r="H397" s="11">
        <f>D399</f>
        <v>0.7</v>
      </c>
      <c r="I397" s="2" t="s">
        <v>524</v>
      </c>
      <c r="J397" s="379"/>
      <c r="K397" s="431" t="s">
        <v>604</v>
      </c>
      <c r="L397" s="385">
        <f>IF(L396/5/1000&lt;23.9,23.9,L396/5/1000)</f>
        <v>23.9</v>
      </c>
      <c r="M397" s="349" t="s">
        <v>525</v>
      </c>
      <c r="N397" s="381"/>
      <c r="O397" s="346"/>
      <c r="P397"/>
      <c r="Q397"/>
      <c r="T397"/>
    </row>
    <row r="398" spans="1:32" ht="30" customHeight="1" x14ac:dyDescent="0.3">
      <c r="A398" s="228"/>
      <c r="B398" s="47"/>
      <c r="C398" s="382" t="s">
        <v>526</v>
      </c>
      <c r="D398" s="11">
        <f>xx!H60</f>
        <v>500</v>
      </c>
      <c r="E398" s="2" t="s">
        <v>527</v>
      </c>
      <c r="F398" s="379"/>
      <c r="G398" s="382" t="s">
        <v>528</v>
      </c>
      <c r="H398" s="11">
        <f>D401</f>
        <v>33</v>
      </c>
      <c r="I398" s="2" t="s">
        <v>518</v>
      </c>
      <c r="J398" s="379"/>
      <c r="K398" s="382" t="s">
        <v>601</v>
      </c>
      <c r="L398" s="11">
        <f>L396/5/1000</f>
        <v>3.36</v>
      </c>
      <c r="M398" s="388"/>
      <c r="N398" s="381"/>
      <c r="O398" s="346"/>
      <c r="P398"/>
      <c r="Q398"/>
      <c r="T398"/>
    </row>
    <row r="399" spans="1:32" ht="30" customHeight="1" x14ac:dyDescent="0.3">
      <c r="A399" s="228"/>
      <c r="B399" s="47"/>
      <c r="C399" s="382" t="s">
        <v>529</v>
      </c>
      <c r="D399" s="11">
        <v>0.7</v>
      </c>
      <c r="E399" s="2" t="s">
        <v>524</v>
      </c>
      <c r="F399" s="379"/>
      <c r="G399" s="382" t="s">
        <v>530</v>
      </c>
      <c r="H399" s="11">
        <f>D402</f>
        <v>25</v>
      </c>
      <c r="I399" s="2" t="s">
        <v>518</v>
      </c>
      <c r="J399" s="379"/>
      <c r="K399" s="455"/>
      <c r="L399" s="455"/>
      <c r="M399" s="455"/>
      <c r="N399" s="381"/>
      <c r="O399" s="346"/>
      <c r="P399"/>
      <c r="Q399"/>
      <c r="T399"/>
    </row>
    <row r="400" spans="1:32" ht="30" customHeight="1" x14ac:dyDescent="0.3">
      <c r="A400" s="228"/>
      <c r="B400" s="47"/>
      <c r="C400" s="382" t="s">
        <v>531</v>
      </c>
      <c r="D400" s="383" t="s">
        <v>96</v>
      </c>
      <c r="E400" s="2" t="s">
        <v>532</v>
      </c>
      <c r="F400" s="379"/>
      <c r="G400" s="382" t="s">
        <v>533</v>
      </c>
      <c r="H400" s="2">
        <f>D403</f>
        <v>21</v>
      </c>
      <c r="I400" s="2" t="s">
        <v>534</v>
      </c>
      <c r="J400" s="379"/>
      <c r="K400" s="455"/>
      <c r="L400" s="455"/>
      <c r="M400" s="455"/>
      <c r="N400" s="381"/>
      <c r="O400" s="346"/>
      <c r="P400"/>
      <c r="Q400"/>
      <c r="T400"/>
    </row>
    <row r="401" spans="1:32" ht="30" customHeight="1" x14ac:dyDescent="0.3">
      <c r="A401" s="228"/>
      <c r="B401" s="47"/>
      <c r="C401" s="382" t="s">
        <v>535</v>
      </c>
      <c r="D401" s="11">
        <v>33</v>
      </c>
      <c r="E401" s="2" t="s">
        <v>518</v>
      </c>
      <c r="F401" s="379"/>
      <c r="G401" s="382" t="s">
        <v>536</v>
      </c>
      <c r="H401" s="2">
        <v>175</v>
      </c>
      <c r="I401" s="21" t="s">
        <v>537</v>
      </c>
      <c r="J401" s="379"/>
      <c r="K401" s="379"/>
      <c r="L401" s="375"/>
      <c r="M401" s="379"/>
      <c r="N401" s="381"/>
      <c r="O401" s="346"/>
      <c r="P401"/>
      <c r="Q401"/>
      <c r="T401"/>
    </row>
    <row r="402" spans="1:32" ht="30" customHeight="1" x14ac:dyDescent="0.3">
      <c r="A402" s="228"/>
      <c r="B402" s="47"/>
      <c r="C402" s="382" t="s">
        <v>538</v>
      </c>
      <c r="D402" s="11">
        <v>25</v>
      </c>
      <c r="E402" s="2" t="s">
        <v>518</v>
      </c>
      <c r="F402" s="379"/>
      <c r="G402" s="2"/>
      <c r="H402" s="21"/>
      <c r="I402" s="21"/>
      <c r="J402" s="379"/>
      <c r="K402" s="379"/>
      <c r="L402" s="375"/>
      <c r="M402" s="379"/>
      <c r="N402" s="381"/>
      <c r="O402" s="346"/>
      <c r="P402"/>
      <c r="Q402"/>
      <c r="T402"/>
    </row>
    <row r="403" spans="1:32" ht="30" customHeight="1" x14ac:dyDescent="0.3">
      <c r="A403" s="228"/>
      <c r="B403" s="47"/>
      <c r="C403" s="382" t="s">
        <v>539</v>
      </c>
      <c r="D403" s="2">
        <v>21</v>
      </c>
      <c r="E403" s="2" t="s">
        <v>534</v>
      </c>
      <c r="F403" s="379"/>
      <c r="G403" s="389" t="s">
        <v>540</v>
      </c>
      <c r="H403" s="390">
        <f>((D398*D399)/(H400*H401))*(LN((H398-H396)/(H399-H396)))</f>
        <v>3.5021407630982604E-2</v>
      </c>
      <c r="I403" s="389" t="s">
        <v>541</v>
      </c>
      <c r="J403" s="379"/>
      <c r="K403" s="388"/>
      <c r="L403" s="391"/>
      <c r="M403" s="388"/>
      <c r="N403" s="381"/>
      <c r="O403" s="346"/>
      <c r="P403"/>
      <c r="Q403"/>
      <c r="T403"/>
    </row>
    <row r="404" spans="1:32" ht="30" customHeight="1" x14ac:dyDescent="0.3">
      <c r="A404" s="228"/>
      <c r="B404" s="47"/>
      <c r="C404" s="392" t="s">
        <v>542</v>
      </c>
      <c r="D404" s="393">
        <f>D398*D399*(D401-D402)</f>
        <v>2800</v>
      </c>
      <c r="E404" s="389" t="s">
        <v>543</v>
      </c>
      <c r="F404" s="379"/>
      <c r="G404" s="670" t="s">
        <v>544</v>
      </c>
      <c r="H404" s="671"/>
      <c r="I404" s="672"/>
      <c r="J404" s="379"/>
      <c r="K404" s="388"/>
      <c r="L404" s="397"/>
      <c r="M404" s="388"/>
      <c r="N404" s="381"/>
      <c r="O404" s="346"/>
      <c r="P404"/>
      <c r="Q404"/>
      <c r="T404"/>
    </row>
    <row r="405" spans="1:32" ht="30" customHeight="1" x14ac:dyDescent="0.3">
      <c r="A405" s="228"/>
      <c r="B405" s="47"/>
      <c r="C405" s="379"/>
      <c r="D405" s="375"/>
      <c r="E405" s="379"/>
      <c r="F405" s="379"/>
      <c r="G405" s="398" t="s">
        <v>545</v>
      </c>
      <c r="H405" s="399">
        <v>10</v>
      </c>
      <c r="I405" s="400" t="s">
        <v>546</v>
      </c>
      <c r="J405" s="379"/>
      <c r="K405" s="388"/>
      <c r="L405" s="401"/>
      <c r="M405" s="401"/>
      <c r="N405" s="381"/>
      <c r="O405" s="229"/>
      <c r="P405"/>
      <c r="Q405"/>
      <c r="T405"/>
    </row>
    <row r="406" spans="1:32" ht="30" customHeight="1" x14ac:dyDescent="0.3">
      <c r="A406" s="228"/>
      <c r="B406" s="47"/>
      <c r="C406" s="379"/>
      <c r="D406" s="375"/>
      <c r="E406" s="379"/>
      <c r="F406" s="379"/>
      <c r="G406" s="398" t="s">
        <v>545</v>
      </c>
      <c r="H406" s="404">
        <f>H405/60</f>
        <v>0.16666666666666666</v>
      </c>
      <c r="I406" s="400" t="s">
        <v>541</v>
      </c>
      <c r="J406" s="379"/>
      <c r="K406" s="388"/>
      <c r="L406" s="401"/>
      <c r="M406" s="401"/>
      <c r="N406" s="381"/>
      <c r="O406" s="229"/>
      <c r="P406"/>
      <c r="Q406"/>
      <c r="T406"/>
    </row>
    <row r="407" spans="1:32" ht="30" customHeight="1" x14ac:dyDescent="0.3">
      <c r="A407" s="228"/>
      <c r="B407" s="47"/>
      <c r="C407" s="379"/>
      <c r="D407" s="375"/>
      <c r="E407" s="379"/>
      <c r="F407" s="379"/>
      <c r="G407"/>
      <c r="H407"/>
      <c r="I407"/>
      <c r="J407" s="379"/>
      <c r="K407" s="388"/>
      <c r="L407" s="401"/>
      <c r="M407" s="401"/>
      <c r="N407" s="381"/>
      <c r="O407" s="229"/>
      <c r="P407"/>
      <c r="Q407"/>
      <c r="T407"/>
    </row>
    <row r="408" spans="1:32" ht="28.5" customHeight="1" thickBot="1" x14ac:dyDescent="0.35">
      <c r="A408" s="228"/>
      <c r="B408" s="402"/>
      <c r="C408" s="403"/>
      <c r="D408" s="403"/>
      <c r="E408" s="403"/>
      <c r="F408" s="403"/>
      <c r="G408" s="403"/>
      <c r="H408" s="403"/>
      <c r="I408" s="403"/>
      <c r="J408" s="403"/>
      <c r="K408" s="403"/>
      <c r="L408" s="405"/>
      <c r="M408" s="403"/>
      <c r="N408" s="406"/>
      <c r="O408" s="229"/>
      <c r="P408"/>
      <c r="Q408"/>
      <c r="T408"/>
    </row>
    <row r="409" spans="1:32" ht="55.5" customHeight="1" x14ac:dyDescent="0.3">
      <c r="A409" s="228"/>
      <c r="B409" s="365" t="s">
        <v>498</v>
      </c>
      <c r="C409" s="366" t="s">
        <v>499</v>
      </c>
      <c r="D409" s="366" t="s">
        <v>500</v>
      </c>
      <c r="E409" s="366" t="s">
        <v>501</v>
      </c>
      <c r="F409" s="366" t="s">
        <v>502</v>
      </c>
      <c r="G409" s="366" t="s">
        <v>503</v>
      </c>
      <c r="H409" s="366" t="s">
        <v>504</v>
      </c>
      <c r="I409" s="366" t="s">
        <v>505</v>
      </c>
      <c r="J409" s="366" t="s">
        <v>506</v>
      </c>
      <c r="K409" s="366" t="s">
        <v>507</v>
      </c>
      <c r="L409" s="366" t="s">
        <v>508</v>
      </c>
      <c r="M409" s="679" t="s">
        <v>509</v>
      </c>
      <c r="N409" s="680"/>
      <c r="O409" s="346"/>
      <c r="P409"/>
      <c r="Q409"/>
      <c r="T409"/>
    </row>
    <row r="410" spans="1:32" s="13" customFormat="1" ht="35.25" customHeight="1" thickBot="1" x14ac:dyDescent="0.35">
      <c r="A410" s="407"/>
      <c r="B410" s="369">
        <v>40</v>
      </c>
      <c r="C410" s="239" t="s">
        <v>555</v>
      </c>
      <c r="D410" s="212">
        <v>10</v>
      </c>
      <c r="E410" s="212" t="s">
        <v>511</v>
      </c>
      <c r="F410" s="222" t="s">
        <v>96</v>
      </c>
      <c r="G410" s="222">
        <v>25</v>
      </c>
      <c r="H410" s="370" t="s">
        <v>96</v>
      </c>
      <c r="I410" s="212" t="s">
        <v>96</v>
      </c>
      <c r="J410" s="212" t="s">
        <v>96</v>
      </c>
      <c r="K410" s="222" t="s">
        <v>96</v>
      </c>
      <c r="L410" s="371">
        <f>H424</f>
        <v>0.33333333333333331</v>
      </c>
      <c r="M410" s="681">
        <f>L415</f>
        <v>23.9</v>
      </c>
      <c r="N410" s="682"/>
      <c r="O410" s="346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1:32" ht="26.25" customHeight="1" x14ac:dyDescent="0.3">
      <c r="A411" s="228"/>
      <c r="B411" s="683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9"/>
      <c r="O411" s="346"/>
      <c r="P411"/>
      <c r="Q411"/>
      <c r="T411"/>
    </row>
    <row r="412" spans="1:32" ht="28.5" customHeight="1" x14ac:dyDescent="0.3">
      <c r="A412" s="228"/>
      <c r="B412" s="47"/>
      <c r="C412" s="673" t="s">
        <v>512</v>
      </c>
      <c r="D412" s="674"/>
      <c r="E412" s="675"/>
      <c r="F412" s="375"/>
      <c r="G412" s="673" t="s">
        <v>513</v>
      </c>
      <c r="H412" s="674"/>
      <c r="I412" s="675"/>
      <c r="J412" s="375"/>
      <c r="K412" s="673" t="s">
        <v>514</v>
      </c>
      <c r="L412" s="674"/>
      <c r="M412" s="675"/>
      <c r="N412" s="376"/>
      <c r="O412" s="346"/>
      <c r="P412"/>
      <c r="Q412"/>
      <c r="T412"/>
    </row>
    <row r="413" spans="1:32" ht="24" customHeight="1" x14ac:dyDescent="0.3">
      <c r="A413" s="228"/>
      <c r="B413" s="47"/>
      <c r="C413" s="377"/>
      <c r="D413" s="11"/>
      <c r="E413" s="378"/>
      <c r="F413" s="379"/>
      <c r="G413" s="380"/>
      <c r="H413" s="380"/>
      <c r="I413" s="380"/>
      <c r="J413" s="379"/>
      <c r="K413" s="378"/>
      <c r="L413" s="2"/>
      <c r="M413" s="378"/>
      <c r="N413" s="381"/>
      <c r="O413" s="346"/>
      <c r="P413"/>
      <c r="Q413"/>
      <c r="T413"/>
    </row>
    <row r="414" spans="1:32" ht="32.25" customHeight="1" x14ac:dyDescent="0.3">
      <c r="A414" s="228"/>
      <c r="B414" s="47"/>
      <c r="C414" s="382" t="s">
        <v>515</v>
      </c>
      <c r="D414" s="383">
        <f>D410</f>
        <v>10</v>
      </c>
      <c r="E414" s="2" t="s">
        <v>516</v>
      </c>
      <c r="F414" s="379"/>
      <c r="G414" s="382" t="s">
        <v>517</v>
      </c>
      <c r="H414" s="3">
        <v>7</v>
      </c>
      <c r="I414" s="2" t="s">
        <v>518</v>
      </c>
      <c r="J414" s="379"/>
      <c r="K414" s="21" t="s">
        <v>519</v>
      </c>
      <c r="L414" s="163">
        <f>D422/H424</f>
        <v>15750</v>
      </c>
      <c r="M414" s="2" t="s">
        <v>520</v>
      </c>
      <c r="N414" s="381"/>
      <c r="O414" s="346"/>
      <c r="P414"/>
      <c r="Q414"/>
      <c r="T414"/>
    </row>
    <row r="415" spans="1:32" ht="38.25" customHeight="1" x14ac:dyDescent="0.3">
      <c r="A415" s="228"/>
      <c r="B415" s="47"/>
      <c r="C415" s="382" t="s">
        <v>521</v>
      </c>
      <c r="D415" s="11" t="s">
        <v>96</v>
      </c>
      <c r="E415" s="2" t="s">
        <v>522</v>
      </c>
      <c r="F415" s="379"/>
      <c r="G415" s="382" t="s">
        <v>523</v>
      </c>
      <c r="H415" s="11">
        <f>D417</f>
        <v>0.7</v>
      </c>
      <c r="I415" s="2" t="s">
        <v>524</v>
      </c>
      <c r="J415" s="379"/>
      <c r="K415" s="431" t="s">
        <v>604</v>
      </c>
      <c r="L415" s="385">
        <f>IF(L414/5/1000&lt;23.9,23.9,L414/5/1000)</f>
        <v>23.9</v>
      </c>
      <c r="M415" s="349" t="s">
        <v>525</v>
      </c>
      <c r="N415" s="381"/>
      <c r="O415" s="346"/>
      <c r="P415"/>
      <c r="Q415"/>
      <c r="T415"/>
    </row>
    <row r="416" spans="1:32" ht="30" customHeight="1" x14ac:dyDescent="0.3">
      <c r="A416" s="228"/>
      <c r="B416" s="47"/>
      <c r="C416" s="382" t="s">
        <v>526</v>
      </c>
      <c r="D416" s="11">
        <f>xx!H62</f>
        <v>1500</v>
      </c>
      <c r="E416" s="2" t="s">
        <v>527</v>
      </c>
      <c r="F416" s="379"/>
      <c r="G416" s="382" t="s">
        <v>528</v>
      </c>
      <c r="H416" s="11">
        <f>D419</f>
        <v>30</v>
      </c>
      <c r="I416" s="2" t="s">
        <v>518</v>
      </c>
      <c r="J416" s="379"/>
      <c r="K416" s="382" t="s">
        <v>601</v>
      </c>
      <c r="L416" s="11">
        <f>L414/5/1000</f>
        <v>3.15</v>
      </c>
      <c r="M416" s="388"/>
      <c r="N416" s="381"/>
      <c r="O416" s="346"/>
      <c r="P416"/>
      <c r="Q416"/>
      <c r="T416"/>
    </row>
    <row r="417" spans="1:32" ht="30" customHeight="1" x14ac:dyDescent="0.3">
      <c r="A417" s="228"/>
      <c r="B417" s="47"/>
      <c r="C417" s="382" t="s">
        <v>529</v>
      </c>
      <c r="D417" s="11">
        <v>0.7</v>
      </c>
      <c r="E417" s="2" t="s">
        <v>524</v>
      </c>
      <c r="F417" s="379"/>
      <c r="G417" s="382" t="s">
        <v>530</v>
      </c>
      <c r="H417" s="11">
        <f>D420</f>
        <v>25</v>
      </c>
      <c r="I417" s="2" t="s">
        <v>518</v>
      </c>
      <c r="J417" s="379"/>
      <c r="K417" s="455"/>
      <c r="L417" s="455"/>
      <c r="M417" s="455"/>
      <c r="N417" s="381"/>
      <c r="O417" s="346"/>
      <c r="P417"/>
      <c r="Q417"/>
      <c r="T417"/>
    </row>
    <row r="418" spans="1:32" ht="30" customHeight="1" x14ac:dyDescent="0.3">
      <c r="A418" s="228"/>
      <c r="B418" s="47"/>
      <c r="C418" s="382" t="s">
        <v>531</v>
      </c>
      <c r="D418" s="383" t="s">
        <v>96</v>
      </c>
      <c r="E418" s="2" t="s">
        <v>532</v>
      </c>
      <c r="F418" s="379"/>
      <c r="G418" s="382" t="s">
        <v>533</v>
      </c>
      <c r="H418" s="2">
        <f>D421</f>
        <v>21</v>
      </c>
      <c r="I418" s="2" t="s">
        <v>534</v>
      </c>
      <c r="J418" s="379"/>
      <c r="K418" s="455"/>
      <c r="L418" s="455"/>
      <c r="M418" s="455"/>
      <c r="N418" s="381"/>
      <c r="O418" s="346"/>
      <c r="P418"/>
      <c r="Q418"/>
      <c r="T418"/>
    </row>
    <row r="419" spans="1:32" ht="30" customHeight="1" x14ac:dyDescent="0.3">
      <c r="A419" s="228"/>
      <c r="B419" s="47"/>
      <c r="C419" s="382" t="s">
        <v>535</v>
      </c>
      <c r="D419" s="11">
        <v>30</v>
      </c>
      <c r="E419" s="2" t="s">
        <v>518</v>
      </c>
      <c r="F419" s="379"/>
      <c r="G419" s="382" t="s">
        <v>536</v>
      </c>
      <c r="H419" s="2">
        <v>175</v>
      </c>
      <c r="I419" s="21" t="s">
        <v>537</v>
      </c>
      <c r="J419" s="379"/>
      <c r="K419" s="379"/>
      <c r="L419" s="375"/>
      <c r="M419" s="379"/>
      <c r="N419" s="381"/>
      <c r="O419" s="346"/>
      <c r="P419"/>
      <c r="Q419"/>
      <c r="T419"/>
    </row>
    <row r="420" spans="1:32" ht="30" customHeight="1" x14ac:dyDescent="0.3">
      <c r="A420" s="228"/>
      <c r="B420" s="47"/>
      <c r="C420" s="382" t="s">
        <v>538</v>
      </c>
      <c r="D420" s="11">
        <v>25</v>
      </c>
      <c r="E420" s="2" t="s">
        <v>518</v>
      </c>
      <c r="F420" s="379"/>
      <c r="G420" s="2"/>
      <c r="H420" s="21"/>
      <c r="I420" s="21"/>
      <c r="J420" s="379"/>
      <c r="K420" s="379"/>
      <c r="L420" s="375"/>
      <c r="M420" s="379"/>
      <c r="N420" s="381"/>
      <c r="O420" s="346"/>
      <c r="P420"/>
      <c r="Q420"/>
      <c r="T420"/>
    </row>
    <row r="421" spans="1:32" ht="30" customHeight="1" x14ac:dyDescent="0.3">
      <c r="A421" s="228"/>
      <c r="B421" s="47"/>
      <c r="C421" s="382" t="s">
        <v>539</v>
      </c>
      <c r="D421" s="2">
        <v>21</v>
      </c>
      <c r="E421" s="2" t="s">
        <v>534</v>
      </c>
      <c r="F421" s="379"/>
      <c r="G421" s="389" t="s">
        <v>540</v>
      </c>
      <c r="H421" s="390">
        <f>((D416*D417)/(H418*H419))*(LN((H416-H414)/(H417-H414)))</f>
        <v>7.0034988009424259E-2</v>
      </c>
      <c r="I421" s="389" t="s">
        <v>541</v>
      </c>
      <c r="J421" s="379"/>
      <c r="K421" s="388"/>
      <c r="L421" s="391"/>
      <c r="M421" s="388"/>
      <c r="N421" s="381"/>
      <c r="O421" s="346"/>
      <c r="P421"/>
      <c r="Q421"/>
      <c r="T421"/>
    </row>
    <row r="422" spans="1:32" ht="30" customHeight="1" x14ac:dyDescent="0.3">
      <c r="A422" s="228"/>
      <c r="B422" s="47"/>
      <c r="C422" s="392" t="s">
        <v>542</v>
      </c>
      <c r="D422" s="393">
        <f>D416*D417*(D419-D420)</f>
        <v>5250</v>
      </c>
      <c r="E422" s="389" t="s">
        <v>543</v>
      </c>
      <c r="F422" s="379"/>
      <c r="G422" s="670" t="s">
        <v>544</v>
      </c>
      <c r="H422" s="671"/>
      <c r="I422" s="672"/>
      <c r="J422" s="379"/>
      <c r="K422" s="388"/>
      <c r="L422" s="397"/>
      <c r="M422" s="388"/>
      <c r="N422" s="381"/>
      <c r="O422" s="346"/>
      <c r="P422"/>
      <c r="Q422"/>
      <c r="T422"/>
    </row>
    <row r="423" spans="1:32" ht="30" customHeight="1" x14ac:dyDescent="0.3">
      <c r="A423" s="228"/>
      <c r="B423" s="47"/>
      <c r="C423" s="379"/>
      <c r="D423" s="375"/>
      <c r="E423" s="379"/>
      <c r="F423" s="379"/>
      <c r="G423" s="398" t="s">
        <v>545</v>
      </c>
      <c r="H423" s="399">
        <v>20</v>
      </c>
      <c r="I423" s="400" t="s">
        <v>546</v>
      </c>
      <c r="J423" s="379"/>
      <c r="K423" s="388"/>
      <c r="L423" s="401"/>
      <c r="M423" s="401"/>
      <c r="N423" s="381"/>
      <c r="O423" s="229"/>
      <c r="P423"/>
      <c r="Q423"/>
      <c r="T423"/>
    </row>
    <row r="424" spans="1:32" ht="30" customHeight="1" x14ac:dyDescent="0.3">
      <c r="A424" s="228"/>
      <c r="B424" s="47"/>
      <c r="C424" s="379"/>
      <c r="D424" s="375"/>
      <c r="E424" s="379"/>
      <c r="F424" s="379"/>
      <c r="G424" s="398" t="s">
        <v>545</v>
      </c>
      <c r="H424" s="404">
        <f>H423/60</f>
        <v>0.33333333333333331</v>
      </c>
      <c r="I424" s="400" t="s">
        <v>541</v>
      </c>
      <c r="J424" s="379"/>
      <c r="K424" s="388"/>
      <c r="L424" s="401"/>
      <c r="M424" s="401"/>
      <c r="N424" s="381"/>
      <c r="O424" s="229"/>
      <c r="P424"/>
      <c r="Q424"/>
      <c r="T424"/>
    </row>
    <row r="425" spans="1:32" ht="30" customHeight="1" x14ac:dyDescent="0.3">
      <c r="A425" s="228"/>
      <c r="B425" s="47"/>
      <c r="C425" s="379"/>
      <c r="D425" s="375"/>
      <c r="E425" s="379"/>
      <c r="F425" s="379"/>
      <c r="G425"/>
      <c r="H425"/>
      <c r="I425"/>
      <c r="J425" s="379"/>
      <c r="K425" s="388"/>
      <c r="L425" s="401"/>
      <c r="M425" s="401"/>
      <c r="N425" s="381"/>
      <c r="O425" s="229"/>
      <c r="P425"/>
      <c r="Q425"/>
      <c r="T425"/>
    </row>
    <row r="426" spans="1:32" ht="30" customHeight="1" thickBot="1" x14ac:dyDescent="0.35">
      <c r="A426" s="228"/>
      <c r="B426" s="47"/>
      <c r="C426" s="379"/>
      <c r="D426" s="375"/>
      <c r="E426" s="379"/>
      <c r="F426" s="379"/>
      <c r="G426"/>
      <c r="H426"/>
      <c r="I426"/>
      <c r="J426" s="379"/>
      <c r="K426" s="388"/>
      <c r="L426" s="401"/>
      <c r="M426" s="401"/>
      <c r="N426" s="381"/>
      <c r="O426" s="229"/>
      <c r="P426"/>
      <c r="Q426"/>
      <c r="T426"/>
    </row>
    <row r="427" spans="1:32" ht="55.5" customHeight="1" x14ac:dyDescent="0.3">
      <c r="A427" s="228"/>
      <c r="B427" s="365" t="s">
        <v>498</v>
      </c>
      <c r="C427" s="366" t="s">
        <v>499</v>
      </c>
      <c r="D427" s="366" t="s">
        <v>500</v>
      </c>
      <c r="E427" s="366" t="s">
        <v>501</v>
      </c>
      <c r="F427" s="366" t="s">
        <v>502</v>
      </c>
      <c r="G427" s="366" t="s">
        <v>503</v>
      </c>
      <c r="H427" s="366" t="s">
        <v>504</v>
      </c>
      <c r="I427" s="366" t="s">
        <v>505</v>
      </c>
      <c r="J427" s="366" t="s">
        <v>506</v>
      </c>
      <c r="K427" s="366" t="s">
        <v>507</v>
      </c>
      <c r="L427" s="366" t="s">
        <v>508</v>
      </c>
      <c r="M427" s="679" t="s">
        <v>509</v>
      </c>
      <c r="N427" s="680"/>
      <c r="O427" s="346"/>
      <c r="P427"/>
      <c r="Q427"/>
      <c r="T427"/>
    </row>
    <row r="428" spans="1:32" s="13" customFormat="1" ht="35.25" customHeight="1" thickBot="1" x14ac:dyDescent="0.35">
      <c r="A428" s="407"/>
      <c r="B428" s="369">
        <v>41</v>
      </c>
      <c r="C428" s="239" t="s">
        <v>555</v>
      </c>
      <c r="D428" s="212">
        <v>10</v>
      </c>
      <c r="E428" s="212" t="s">
        <v>511</v>
      </c>
      <c r="F428" s="222" t="s">
        <v>96</v>
      </c>
      <c r="G428" s="222">
        <v>25</v>
      </c>
      <c r="H428" s="370" t="s">
        <v>96</v>
      </c>
      <c r="I428" s="212" t="s">
        <v>96</v>
      </c>
      <c r="J428" s="212" t="s">
        <v>96</v>
      </c>
      <c r="K428" s="222" t="s">
        <v>96</v>
      </c>
      <c r="L428" s="371">
        <f>H442</f>
        <v>0.33333333333333331</v>
      </c>
      <c r="M428" s="681">
        <f>L433</f>
        <v>23.9</v>
      </c>
      <c r="N428" s="682"/>
      <c r="O428" s="346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1:32" ht="26.25" customHeight="1" x14ac:dyDescent="0.3">
      <c r="A429" s="228"/>
      <c r="B429" s="683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9"/>
      <c r="O429" s="346"/>
      <c r="P429"/>
      <c r="Q429"/>
      <c r="T429"/>
    </row>
    <row r="430" spans="1:32" ht="28.5" customHeight="1" x14ac:dyDescent="0.3">
      <c r="A430" s="228"/>
      <c r="B430" s="47"/>
      <c r="C430" s="673" t="s">
        <v>512</v>
      </c>
      <c r="D430" s="674"/>
      <c r="E430" s="675"/>
      <c r="F430" s="375"/>
      <c r="G430" s="673" t="s">
        <v>513</v>
      </c>
      <c r="H430" s="674"/>
      <c r="I430" s="675"/>
      <c r="J430" s="375"/>
      <c r="K430" s="673" t="s">
        <v>514</v>
      </c>
      <c r="L430" s="674"/>
      <c r="M430" s="675"/>
      <c r="N430" s="376"/>
      <c r="O430" s="346"/>
      <c r="P430"/>
      <c r="Q430"/>
      <c r="T430"/>
    </row>
    <row r="431" spans="1:32" ht="24" customHeight="1" x14ac:dyDescent="0.3">
      <c r="A431" s="228"/>
      <c r="B431" s="47"/>
      <c r="C431" s="377"/>
      <c r="D431" s="11"/>
      <c r="E431" s="378"/>
      <c r="F431" s="379"/>
      <c r="G431" s="380"/>
      <c r="H431" s="380"/>
      <c r="I431" s="380"/>
      <c r="J431" s="379"/>
      <c r="K431" s="378"/>
      <c r="L431" s="2"/>
      <c r="M431" s="378"/>
      <c r="N431" s="381"/>
      <c r="O431" s="346"/>
      <c r="P431"/>
      <c r="Q431"/>
      <c r="T431"/>
    </row>
    <row r="432" spans="1:32" ht="32.25" customHeight="1" x14ac:dyDescent="0.3">
      <c r="A432" s="228"/>
      <c r="B432" s="47"/>
      <c r="C432" s="382" t="s">
        <v>515</v>
      </c>
      <c r="D432" s="383">
        <f>D428</f>
        <v>10</v>
      </c>
      <c r="E432" s="2" t="s">
        <v>516</v>
      </c>
      <c r="F432" s="379"/>
      <c r="G432" s="382" t="s">
        <v>517</v>
      </c>
      <c r="H432" s="3">
        <v>7</v>
      </c>
      <c r="I432" s="2" t="s">
        <v>518</v>
      </c>
      <c r="J432" s="379"/>
      <c r="K432" s="21" t="s">
        <v>519</v>
      </c>
      <c r="L432" s="163">
        <f>D440/H442</f>
        <v>15750</v>
      </c>
      <c r="M432" s="2" t="s">
        <v>520</v>
      </c>
      <c r="N432" s="381"/>
      <c r="O432" s="346"/>
      <c r="P432"/>
      <c r="Q432"/>
      <c r="T432"/>
    </row>
    <row r="433" spans="1:32" ht="38.25" customHeight="1" x14ac:dyDescent="0.3">
      <c r="A433" s="228"/>
      <c r="B433" s="47"/>
      <c r="C433" s="382" t="s">
        <v>521</v>
      </c>
      <c r="D433" s="11" t="s">
        <v>96</v>
      </c>
      <c r="E433" s="2" t="s">
        <v>522</v>
      </c>
      <c r="F433" s="379"/>
      <c r="G433" s="382" t="s">
        <v>523</v>
      </c>
      <c r="H433" s="11">
        <f>D435</f>
        <v>0.7</v>
      </c>
      <c r="I433" s="2" t="s">
        <v>524</v>
      </c>
      <c r="J433" s="379"/>
      <c r="K433" s="431" t="s">
        <v>604</v>
      </c>
      <c r="L433" s="385">
        <f>IF(L432/5/1000&lt;23.9,23.9,L432/5/1000)</f>
        <v>23.9</v>
      </c>
      <c r="M433" s="349" t="s">
        <v>525</v>
      </c>
      <c r="N433" s="381"/>
      <c r="O433" s="346"/>
      <c r="P433"/>
      <c r="Q433"/>
      <c r="T433"/>
    </row>
    <row r="434" spans="1:32" ht="30" customHeight="1" x14ac:dyDescent="0.3">
      <c r="A434" s="228"/>
      <c r="B434" s="47"/>
      <c r="C434" s="382" t="s">
        <v>526</v>
      </c>
      <c r="D434" s="11">
        <f>xx!H63</f>
        <v>1500</v>
      </c>
      <c r="E434" s="2" t="s">
        <v>527</v>
      </c>
      <c r="F434" s="379"/>
      <c r="G434" s="382" t="s">
        <v>528</v>
      </c>
      <c r="H434" s="11">
        <f>D437</f>
        <v>30</v>
      </c>
      <c r="I434" s="2" t="s">
        <v>518</v>
      </c>
      <c r="J434" s="379"/>
      <c r="K434" s="382" t="s">
        <v>601</v>
      </c>
      <c r="L434" s="11">
        <f>L432/5/1000</f>
        <v>3.15</v>
      </c>
      <c r="M434" s="388"/>
      <c r="N434" s="381"/>
      <c r="O434" s="346"/>
      <c r="P434"/>
      <c r="Q434"/>
      <c r="T434"/>
    </row>
    <row r="435" spans="1:32" ht="30" customHeight="1" x14ac:dyDescent="0.3">
      <c r="A435" s="228"/>
      <c r="B435" s="47"/>
      <c r="C435" s="382" t="s">
        <v>529</v>
      </c>
      <c r="D435" s="11">
        <v>0.7</v>
      </c>
      <c r="E435" s="2" t="s">
        <v>524</v>
      </c>
      <c r="F435" s="379"/>
      <c r="G435" s="382" t="s">
        <v>530</v>
      </c>
      <c r="H435" s="11">
        <f>D438</f>
        <v>25</v>
      </c>
      <c r="I435" s="2" t="s">
        <v>518</v>
      </c>
      <c r="J435" s="379"/>
      <c r="K435" s="455"/>
      <c r="L435" s="455"/>
      <c r="M435" s="455"/>
      <c r="N435" s="381"/>
      <c r="O435" s="346"/>
      <c r="P435"/>
      <c r="Q435"/>
      <c r="T435"/>
    </row>
    <row r="436" spans="1:32" ht="30" customHeight="1" x14ac:dyDescent="0.3">
      <c r="A436" s="228"/>
      <c r="B436" s="47"/>
      <c r="C436" s="382" t="s">
        <v>531</v>
      </c>
      <c r="D436" s="383" t="s">
        <v>96</v>
      </c>
      <c r="E436" s="2" t="s">
        <v>532</v>
      </c>
      <c r="F436" s="379"/>
      <c r="G436" s="382" t="s">
        <v>533</v>
      </c>
      <c r="H436" s="2">
        <f>D439</f>
        <v>21</v>
      </c>
      <c r="I436" s="2" t="s">
        <v>534</v>
      </c>
      <c r="J436" s="379"/>
      <c r="K436" s="455"/>
      <c r="L436" s="455"/>
      <c r="M436" s="455"/>
      <c r="N436" s="381"/>
      <c r="O436" s="346"/>
      <c r="P436"/>
      <c r="Q436"/>
      <c r="T436"/>
    </row>
    <row r="437" spans="1:32" ht="30" customHeight="1" x14ac:dyDescent="0.3">
      <c r="A437" s="228"/>
      <c r="B437" s="47"/>
      <c r="C437" s="382" t="s">
        <v>535</v>
      </c>
      <c r="D437" s="11">
        <v>30</v>
      </c>
      <c r="E437" s="2" t="s">
        <v>518</v>
      </c>
      <c r="F437" s="379"/>
      <c r="G437" s="382" t="s">
        <v>536</v>
      </c>
      <c r="H437" s="2">
        <v>175</v>
      </c>
      <c r="I437" s="21" t="s">
        <v>537</v>
      </c>
      <c r="J437" s="379"/>
      <c r="K437" s="379"/>
      <c r="L437" s="375"/>
      <c r="M437" s="379"/>
      <c r="N437" s="381"/>
      <c r="O437" s="346"/>
      <c r="P437"/>
      <c r="Q437"/>
      <c r="T437"/>
    </row>
    <row r="438" spans="1:32" ht="30" customHeight="1" x14ac:dyDescent="0.3">
      <c r="A438" s="228"/>
      <c r="B438" s="47"/>
      <c r="C438" s="382" t="s">
        <v>538</v>
      </c>
      <c r="D438" s="11">
        <v>25</v>
      </c>
      <c r="E438" s="2" t="s">
        <v>518</v>
      </c>
      <c r="F438" s="379"/>
      <c r="G438" s="2"/>
      <c r="H438" s="21"/>
      <c r="I438" s="21"/>
      <c r="J438" s="379"/>
      <c r="K438" s="379"/>
      <c r="L438" s="375"/>
      <c r="M438" s="379"/>
      <c r="N438" s="381"/>
      <c r="O438" s="346"/>
      <c r="P438"/>
      <c r="Q438"/>
      <c r="T438"/>
    </row>
    <row r="439" spans="1:32" ht="30" customHeight="1" x14ac:dyDescent="0.3">
      <c r="A439" s="228"/>
      <c r="B439" s="47"/>
      <c r="C439" s="382" t="s">
        <v>539</v>
      </c>
      <c r="D439" s="2">
        <v>21</v>
      </c>
      <c r="E439" s="2" t="s">
        <v>534</v>
      </c>
      <c r="F439" s="379"/>
      <c r="G439" s="389" t="s">
        <v>540</v>
      </c>
      <c r="H439" s="390">
        <f>((D434*D435)/(H436*H437))*(LN((H434-H432)/(H435-H432)))</f>
        <v>7.0034988009424259E-2</v>
      </c>
      <c r="I439" s="389" t="s">
        <v>541</v>
      </c>
      <c r="J439" s="379"/>
      <c r="K439" s="388"/>
      <c r="L439" s="391"/>
      <c r="M439" s="388"/>
      <c r="N439" s="381"/>
      <c r="O439" s="346"/>
      <c r="P439"/>
      <c r="Q439"/>
      <c r="T439"/>
    </row>
    <row r="440" spans="1:32" ht="30" customHeight="1" x14ac:dyDescent="0.3">
      <c r="A440" s="228"/>
      <c r="B440" s="47"/>
      <c r="C440" s="392" t="s">
        <v>542</v>
      </c>
      <c r="D440" s="393">
        <f>D434*D435*(D437-D438)</f>
        <v>5250</v>
      </c>
      <c r="E440" s="389" t="s">
        <v>543</v>
      </c>
      <c r="F440" s="379"/>
      <c r="G440" s="670" t="s">
        <v>544</v>
      </c>
      <c r="H440" s="671"/>
      <c r="I440" s="672"/>
      <c r="J440" s="379"/>
      <c r="K440" s="388"/>
      <c r="L440" s="397"/>
      <c r="M440" s="388"/>
      <c r="N440" s="381"/>
      <c r="O440" s="346"/>
      <c r="P440"/>
      <c r="Q440"/>
      <c r="T440"/>
    </row>
    <row r="441" spans="1:32" ht="30" customHeight="1" x14ac:dyDescent="0.3">
      <c r="A441" s="228"/>
      <c r="B441" s="47"/>
      <c r="C441" s="379"/>
      <c r="D441" s="375"/>
      <c r="E441" s="379"/>
      <c r="F441" s="379"/>
      <c r="G441" s="398" t="s">
        <v>545</v>
      </c>
      <c r="H441" s="399">
        <v>20</v>
      </c>
      <c r="I441" s="400" t="s">
        <v>546</v>
      </c>
      <c r="J441" s="379"/>
      <c r="K441" s="388"/>
      <c r="L441" s="401"/>
      <c r="M441" s="401"/>
      <c r="N441" s="381"/>
      <c r="O441" s="229"/>
      <c r="P441"/>
      <c r="Q441"/>
      <c r="T441"/>
    </row>
    <row r="442" spans="1:32" ht="30" customHeight="1" x14ac:dyDescent="0.3">
      <c r="A442" s="228"/>
      <c r="B442" s="47"/>
      <c r="C442" s="379"/>
      <c r="D442" s="375"/>
      <c r="E442" s="379"/>
      <c r="F442" s="379"/>
      <c r="G442" s="398" t="s">
        <v>545</v>
      </c>
      <c r="H442" s="404">
        <f>H441/60</f>
        <v>0.33333333333333331</v>
      </c>
      <c r="I442" s="400" t="s">
        <v>541</v>
      </c>
      <c r="J442" s="379"/>
      <c r="K442" s="388"/>
      <c r="L442" s="401"/>
      <c r="M442" s="401"/>
      <c r="N442" s="381"/>
      <c r="O442" s="229"/>
      <c r="P442"/>
      <c r="Q442"/>
      <c r="T442"/>
    </row>
    <row r="443" spans="1:32" ht="30" customHeight="1" x14ac:dyDescent="0.3">
      <c r="A443" s="228"/>
      <c r="B443" s="47"/>
      <c r="C443" s="379"/>
      <c r="D443" s="375"/>
      <c r="E443" s="379"/>
      <c r="F443" s="379"/>
      <c r="G443"/>
      <c r="H443"/>
      <c r="I443"/>
      <c r="J443" s="379"/>
      <c r="K443" s="388"/>
      <c r="L443" s="401"/>
      <c r="M443" s="401"/>
      <c r="N443" s="381"/>
      <c r="O443" s="229"/>
      <c r="P443"/>
      <c r="Q443"/>
      <c r="T443"/>
    </row>
    <row r="444" spans="1:32" ht="30" customHeight="1" thickBot="1" x14ac:dyDescent="0.35">
      <c r="A444" s="228"/>
      <c r="B444" s="47"/>
      <c r="C444" s="379"/>
      <c r="D444" s="375"/>
      <c r="E444" s="379"/>
      <c r="F444" s="379"/>
      <c r="G444"/>
      <c r="H444"/>
      <c r="I444"/>
      <c r="J444" s="379"/>
      <c r="K444" s="388"/>
      <c r="L444" s="401"/>
      <c r="M444" s="401"/>
      <c r="N444" s="381"/>
      <c r="O444" s="229"/>
      <c r="P444"/>
      <c r="Q444"/>
      <c r="T444"/>
    </row>
    <row r="445" spans="1:32" ht="55.5" customHeight="1" x14ac:dyDescent="0.3">
      <c r="A445" s="228"/>
      <c r="B445" s="365" t="s">
        <v>498</v>
      </c>
      <c r="C445" s="366" t="s">
        <v>499</v>
      </c>
      <c r="D445" s="366" t="s">
        <v>500</v>
      </c>
      <c r="E445" s="366" t="s">
        <v>501</v>
      </c>
      <c r="F445" s="366" t="s">
        <v>502</v>
      </c>
      <c r="G445" s="366" t="s">
        <v>503</v>
      </c>
      <c r="H445" s="366" t="s">
        <v>504</v>
      </c>
      <c r="I445" s="366" t="s">
        <v>505</v>
      </c>
      <c r="J445" s="366" t="s">
        <v>506</v>
      </c>
      <c r="K445" s="366" t="s">
        <v>507</v>
      </c>
      <c r="L445" s="366" t="s">
        <v>508</v>
      </c>
      <c r="M445" s="679" t="s">
        <v>509</v>
      </c>
      <c r="N445" s="680"/>
      <c r="O445" s="346"/>
      <c r="P445"/>
      <c r="Q445"/>
      <c r="T445"/>
    </row>
    <row r="446" spans="1:32" s="13" customFormat="1" ht="35.25" customHeight="1" thickBot="1" x14ac:dyDescent="0.35">
      <c r="A446" s="407"/>
      <c r="B446" s="369">
        <v>43</v>
      </c>
      <c r="C446" s="239" t="s">
        <v>555</v>
      </c>
      <c r="D446" s="212">
        <v>10</v>
      </c>
      <c r="E446" s="212" t="s">
        <v>511</v>
      </c>
      <c r="F446" s="222" t="s">
        <v>96</v>
      </c>
      <c r="G446" s="222">
        <v>25</v>
      </c>
      <c r="H446" s="370" t="s">
        <v>96</v>
      </c>
      <c r="I446" s="212" t="s">
        <v>96</v>
      </c>
      <c r="J446" s="212" t="s">
        <v>96</v>
      </c>
      <c r="K446" s="222" t="s">
        <v>96</v>
      </c>
      <c r="L446" s="371" t="e">
        <f>H460+#REF!</f>
        <v>#REF!</v>
      </c>
      <c r="M446" s="681">
        <f>L451</f>
        <v>23.9</v>
      </c>
      <c r="N446" s="682"/>
      <c r="O446" s="3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1:32" ht="26.25" customHeight="1" x14ac:dyDescent="0.3">
      <c r="A447" s="228"/>
      <c r="B447" s="683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9"/>
      <c r="O447" s="346"/>
      <c r="P447"/>
      <c r="Q447"/>
      <c r="T447"/>
    </row>
    <row r="448" spans="1:32" ht="28.5" customHeight="1" x14ac:dyDescent="0.3">
      <c r="A448" s="228"/>
      <c r="B448" s="47"/>
      <c r="C448" s="673" t="s">
        <v>512</v>
      </c>
      <c r="D448" s="674"/>
      <c r="E448" s="675"/>
      <c r="F448" s="375"/>
      <c r="G448" s="673" t="s">
        <v>513</v>
      </c>
      <c r="H448" s="674"/>
      <c r="I448" s="675"/>
      <c r="J448" s="375"/>
      <c r="K448" s="673" t="s">
        <v>514</v>
      </c>
      <c r="L448" s="674"/>
      <c r="M448" s="675"/>
      <c r="N448" s="376"/>
      <c r="O448" s="346"/>
      <c r="P448"/>
      <c r="Q448"/>
      <c r="T448"/>
    </row>
    <row r="449" spans="1:32" ht="24" customHeight="1" x14ac:dyDescent="0.3">
      <c r="A449" s="228"/>
      <c r="B449" s="47"/>
      <c r="C449" s="377"/>
      <c r="D449" s="11"/>
      <c r="E449" s="378"/>
      <c r="F449" s="379"/>
      <c r="G449" s="380"/>
      <c r="H449" s="380"/>
      <c r="I449" s="380"/>
      <c r="J449" s="379"/>
      <c r="K449" s="378"/>
      <c r="L449" s="2"/>
      <c r="M449" s="378"/>
      <c r="N449" s="381"/>
      <c r="O449" s="346"/>
      <c r="P449"/>
      <c r="Q449"/>
      <c r="T449"/>
    </row>
    <row r="450" spans="1:32" ht="32.25" customHeight="1" x14ac:dyDescent="0.3">
      <c r="A450" s="228"/>
      <c r="B450" s="47"/>
      <c r="C450" s="382" t="s">
        <v>515</v>
      </c>
      <c r="D450" s="383">
        <f>D446</f>
        <v>10</v>
      </c>
      <c r="E450" s="2" t="s">
        <v>516</v>
      </c>
      <c r="F450" s="379"/>
      <c r="G450" s="382" t="s">
        <v>517</v>
      </c>
      <c r="H450" s="3">
        <v>7</v>
      </c>
      <c r="I450" s="2" t="s">
        <v>518</v>
      </c>
      <c r="J450" s="379"/>
      <c r="K450" s="21" t="s">
        <v>519</v>
      </c>
      <c r="L450" s="163">
        <f>D458/H460</f>
        <v>5250</v>
      </c>
      <c r="M450" s="2" t="s">
        <v>520</v>
      </c>
      <c r="N450" s="381"/>
      <c r="O450" s="346"/>
      <c r="P450"/>
      <c r="Q450"/>
      <c r="T450"/>
    </row>
    <row r="451" spans="1:32" ht="38.25" customHeight="1" x14ac:dyDescent="0.3">
      <c r="A451" s="228"/>
      <c r="B451" s="47"/>
      <c r="C451" s="382" t="s">
        <v>521</v>
      </c>
      <c r="D451" s="11" t="s">
        <v>96</v>
      </c>
      <c r="E451" s="2" t="s">
        <v>522</v>
      </c>
      <c r="F451" s="379"/>
      <c r="G451" s="382" t="s">
        <v>523</v>
      </c>
      <c r="H451" s="11">
        <f>D453</f>
        <v>0.7</v>
      </c>
      <c r="I451" s="2" t="s">
        <v>524</v>
      </c>
      <c r="J451" s="379"/>
      <c r="K451" s="431" t="s">
        <v>604</v>
      </c>
      <c r="L451" s="385">
        <f>IF(L450/5/1000&lt;23.9,23.9,L450/5/1000)</f>
        <v>23.9</v>
      </c>
      <c r="M451" s="349" t="s">
        <v>525</v>
      </c>
      <c r="N451" s="381"/>
      <c r="O451" s="346"/>
      <c r="P451"/>
      <c r="Q451"/>
      <c r="T451"/>
    </row>
    <row r="452" spans="1:32" ht="30" customHeight="1" x14ac:dyDescent="0.3">
      <c r="A452" s="228"/>
      <c r="B452" s="47"/>
      <c r="C452" s="382" t="s">
        <v>526</v>
      </c>
      <c r="D452" s="11">
        <f>xx!H65</f>
        <v>1500</v>
      </c>
      <c r="E452" s="2" t="s">
        <v>527</v>
      </c>
      <c r="F452" s="379"/>
      <c r="G452" s="382" t="s">
        <v>528</v>
      </c>
      <c r="H452" s="11">
        <f>D455</f>
        <v>30</v>
      </c>
      <c r="I452" s="2" t="s">
        <v>518</v>
      </c>
      <c r="J452" s="379"/>
      <c r="K452" s="382" t="s">
        <v>601</v>
      </c>
      <c r="L452" s="11">
        <f>L450/5/1000</f>
        <v>1.05</v>
      </c>
      <c r="M452" s="388"/>
      <c r="N452" s="381"/>
      <c r="O452" s="346"/>
      <c r="P452"/>
      <c r="Q452"/>
      <c r="T452"/>
    </row>
    <row r="453" spans="1:32" ht="30" customHeight="1" x14ac:dyDescent="0.3">
      <c r="A453" s="228"/>
      <c r="B453" s="47"/>
      <c r="C453" s="382" t="s">
        <v>529</v>
      </c>
      <c r="D453" s="11">
        <v>0.7</v>
      </c>
      <c r="E453" s="2" t="s">
        <v>524</v>
      </c>
      <c r="F453" s="379"/>
      <c r="G453" s="382" t="s">
        <v>530</v>
      </c>
      <c r="H453" s="11">
        <f>D456</f>
        <v>25</v>
      </c>
      <c r="I453" s="2" t="s">
        <v>518</v>
      </c>
      <c r="J453" s="379"/>
      <c r="K453" s="455"/>
      <c r="L453" s="455"/>
      <c r="M453" s="455"/>
      <c r="N453" s="381"/>
      <c r="O453" s="346"/>
      <c r="P453"/>
      <c r="Q453"/>
      <c r="T453"/>
    </row>
    <row r="454" spans="1:32" ht="30" customHeight="1" x14ac:dyDescent="0.3">
      <c r="A454" s="228"/>
      <c r="B454" s="47"/>
      <c r="C454" s="382" t="s">
        <v>531</v>
      </c>
      <c r="D454" s="383" t="s">
        <v>96</v>
      </c>
      <c r="E454" s="2" t="s">
        <v>532</v>
      </c>
      <c r="F454" s="379"/>
      <c r="G454" s="382" t="s">
        <v>533</v>
      </c>
      <c r="H454" s="2">
        <f>D457</f>
        <v>21</v>
      </c>
      <c r="I454" s="2" t="s">
        <v>534</v>
      </c>
      <c r="J454" s="379"/>
      <c r="K454" s="455"/>
      <c r="L454" s="455"/>
      <c r="M454" s="455"/>
      <c r="N454" s="381"/>
      <c r="O454" s="346"/>
      <c r="P454"/>
      <c r="Q454"/>
      <c r="T454"/>
    </row>
    <row r="455" spans="1:32" ht="30" customHeight="1" x14ac:dyDescent="0.3">
      <c r="A455" s="228"/>
      <c r="B455" s="47"/>
      <c r="C455" s="382" t="s">
        <v>535</v>
      </c>
      <c r="D455" s="11">
        <v>30</v>
      </c>
      <c r="E455" s="2" t="s">
        <v>518</v>
      </c>
      <c r="F455" s="379"/>
      <c r="G455" s="382" t="s">
        <v>536</v>
      </c>
      <c r="H455" s="2">
        <v>175</v>
      </c>
      <c r="I455" s="21" t="s">
        <v>537</v>
      </c>
      <c r="J455" s="379"/>
      <c r="K455" s="379"/>
      <c r="L455" s="375"/>
      <c r="M455" s="379"/>
      <c r="N455" s="381"/>
      <c r="O455" s="346"/>
      <c r="P455"/>
      <c r="Q455"/>
      <c r="T455"/>
    </row>
    <row r="456" spans="1:32" ht="30" customHeight="1" x14ac:dyDescent="0.3">
      <c r="A456" s="228"/>
      <c r="B456" s="47"/>
      <c r="C456" s="382" t="s">
        <v>538</v>
      </c>
      <c r="D456" s="11">
        <v>25</v>
      </c>
      <c r="E456" s="2" t="s">
        <v>518</v>
      </c>
      <c r="F456" s="379"/>
      <c r="G456" s="2"/>
      <c r="H456" s="21"/>
      <c r="I456" s="21"/>
      <c r="J456" s="379"/>
      <c r="K456" s="379"/>
      <c r="L456" s="375"/>
      <c r="M456" s="379"/>
      <c r="N456" s="381"/>
      <c r="O456" s="346"/>
      <c r="P456"/>
      <c r="Q456"/>
      <c r="T456"/>
    </row>
    <row r="457" spans="1:32" ht="30" customHeight="1" x14ac:dyDescent="0.3">
      <c r="A457" s="228"/>
      <c r="B457" s="47"/>
      <c r="C457" s="382" t="s">
        <v>539</v>
      </c>
      <c r="D457" s="2">
        <v>21</v>
      </c>
      <c r="E457" s="2" t="s">
        <v>534</v>
      </c>
      <c r="F457" s="379"/>
      <c r="G457" s="389" t="s">
        <v>540</v>
      </c>
      <c r="H457" s="390">
        <f>((D452*D453)/(H454*H455))*(LN((H452-H450)/(H453-H450)))</f>
        <v>7.0034988009424259E-2</v>
      </c>
      <c r="I457" s="389" t="s">
        <v>541</v>
      </c>
      <c r="J457" s="379"/>
      <c r="K457" s="388"/>
      <c r="L457" s="391"/>
      <c r="M457" s="388"/>
      <c r="N457" s="381"/>
      <c r="O457" s="346"/>
      <c r="P457"/>
      <c r="Q457"/>
      <c r="T457"/>
    </row>
    <row r="458" spans="1:32" ht="30" customHeight="1" x14ac:dyDescent="0.3">
      <c r="A458" s="228"/>
      <c r="B458" s="47"/>
      <c r="C458" s="392" t="s">
        <v>542</v>
      </c>
      <c r="D458" s="393">
        <f>D452*D453*(D455-D456)</f>
        <v>5250</v>
      </c>
      <c r="E458" s="389" t="s">
        <v>543</v>
      </c>
      <c r="F458" s="379"/>
      <c r="G458" s="670" t="s">
        <v>544</v>
      </c>
      <c r="H458" s="671"/>
      <c r="I458" s="672"/>
      <c r="J458" s="379"/>
      <c r="K458" s="388"/>
      <c r="L458" s="397"/>
      <c r="M458" s="388"/>
      <c r="N458" s="381"/>
      <c r="O458" s="346"/>
      <c r="P458"/>
      <c r="Q458"/>
      <c r="T458"/>
    </row>
    <row r="459" spans="1:32" ht="30" customHeight="1" x14ac:dyDescent="0.3">
      <c r="A459" s="228"/>
      <c r="B459" s="47"/>
      <c r="C459" s="379"/>
      <c r="D459" s="375"/>
      <c r="E459" s="379"/>
      <c r="F459" s="379"/>
      <c r="G459" s="398" t="s">
        <v>545</v>
      </c>
      <c r="H459" s="399">
        <v>60</v>
      </c>
      <c r="I459" s="400" t="s">
        <v>546</v>
      </c>
      <c r="J459" s="379"/>
      <c r="K459" s="388"/>
      <c r="L459" s="401"/>
      <c r="M459" s="401"/>
      <c r="N459" s="381"/>
      <c r="O459" s="229"/>
      <c r="P459"/>
      <c r="Q459"/>
      <c r="T459"/>
    </row>
    <row r="460" spans="1:32" ht="30" customHeight="1" x14ac:dyDescent="0.3">
      <c r="A460" s="228"/>
      <c r="B460" s="47"/>
      <c r="C460" s="379"/>
      <c r="D460" s="375"/>
      <c r="E460" s="379"/>
      <c r="F460" s="379"/>
      <c r="G460" s="398" t="s">
        <v>545</v>
      </c>
      <c r="H460" s="404">
        <f>H459/60</f>
        <v>1</v>
      </c>
      <c r="I460" s="400" t="s">
        <v>541</v>
      </c>
      <c r="J460" s="379"/>
      <c r="K460" s="388"/>
      <c r="L460" s="401"/>
      <c r="M460" s="401"/>
      <c r="N460" s="381"/>
      <c r="O460" s="229"/>
      <c r="P460"/>
      <c r="Q460"/>
      <c r="T460"/>
    </row>
    <row r="461" spans="1:32" ht="30" customHeight="1" x14ac:dyDescent="0.3">
      <c r="A461" s="228"/>
      <c r="B461" s="47"/>
      <c r="C461" s="379"/>
      <c r="D461" s="375"/>
      <c r="E461" s="379"/>
      <c r="F461" s="379"/>
      <c r="G461"/>
      <c r="H461"/>
      <c r="I461"/>
      <c r="J461" s="379"/>
      <c r="K461" s="388"/>
      <c r="L461" s="401"/>
      <c r="M461" s="401"/>
      <c r="N461" s="381"/>
      <c r="O461" s="229"/>
      <c r="P461"/>
      <c r="Q461"/>
      <c r="T461"/>
    </row>
    <row r="462" spans="1:32" ht="30" customHeight="1" thickBot="1" x14ac:dyDescent="0.35">
      <c r="A462" s="228"/>
      <c r="B462" s="47"/>
      <c r="C462" s="379"/>
      <c r="D462" s="375"/>
      <c r="E462" s="379"/>
      <c r="F462" s="379"/>
      <c r="G462"/>
      <c r="H462"/>
      <c r="I462"/>
      <c r="J462" s="379"/>
      <c r="K462" s="388"/>
      <c r="L462" s="401"/>
      <c r="M462" s="401"/>
      <c r="N462" s="381"/>
      <c r="O462" s="229"/>
      <c r="P462"/>
      <c r="Q462"/>
      <c r="T462"/>
    </row>
    <row r="463" spans="1:32" ht="55.5" customHeight="1" x14ac:dyDescent="0.3">
      <c r="A463" s="228"/>
      <c r="B463" s="365" t="s">
        <v>498</v>
      </c>
      <c r="C463" s="366" t="s">
        <v>499</v>
      </c>
      <c r="D463" s="366" t="s">
        <v>500</v>
      </c>
      <c r="E463" s="366" t="s">
        <v>501</v>
      </c>
      <c r="F463" s="366" t="s">
        <v>502</v>
      </c>
      <c r="G463" s="366" t="s">
        <v>503</v>
      </c>
      <c r="H463" s="366" t="s">
        <v>504</v>
      </c>
      <c r="I463" s="366" t="s">
        <v>505</v>
      </c>
      <c r="J463" s="366" t="s">
        <v>506</v>
      </c>
      <c r="K463" s="366" t="s">
        <v>507</v>
      </c>
      <c r="L463" s="366" t="s">
        <v>508</v>
      </c>
      <c r="M463" s="679" t="s">
        <v>509</v>
      </c>
      <c r="N463" s="680"/>
      <c r="O463" s="346"/>
      <c r="P463"/>
      <c r="Q463"/>
      <c r="T463"/>
    </row>
    <row r="464" spans="1:32" s="13" customFormat="1" ht="35.25" customHeight="1" thickBot="1" x14ac:dyDescent="0.35">
      <c r="A464" s="407"/>
      <c r="B464" s="369">
        <v>45</v>
      </c>
      <c r="C464" s="239" t="s">
        <v>555</v>
      </c>
      <c r="D464" s="212">
        <v>10</v>
      </c>
      <c r="E464" s="212" t="s">
        <v>511</v>
      </c>
      <c r="F464" s="222" t="s">
        <v>96</v>
      </c>
      <c r="G464" s="222">
        <v>25</v>
      </c>
      <c r="H464" s="370" t="s">
        <v>96</v>
      </c>
      <c r="I464" s="212" t="s">
        <v>96</v>
      </c>
      <c r="J464" s="212" t="s">
        <v>96</v>
      </c>
      <c r="K464" s="222" t="s">
        <v>96</v>
      </c>
      <c r="L464" s="371">
        <f>H478</f>
        <v>1</v>
      </c>
      <c r="M464" s="681">
        <f>L469</f>
        <v>23.9</v>
      </c>
      <c r="N464" s="682"/>
      <c r="O464" s="346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1:20" ht="26.25" customHeight="1" x14ac:dyDescent="0.3">
      <c r="A465" s="228"/>
      <c r="B465" s="683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9"/>
      <c r="O465" s="346"/>
      <c r="P465"/>
      <c r="Q465"/>
      <c r="T465"/>
    </row>
    <row r="466" spans="1:20" ht="28.5" customHeight="1" x14ac:dyDescent="0.3">
      <c r="A466" s="228"/>
      <c r="B466" s="47"/>
      <c r="C466" s="673" t="s">
        <v>512</v>
      </c>
      <c r="D466" s="674"/>
      <c r="E466" s="675"/>
      <c r="F466" s="375"/>
      <c r="G466" s="673" t="s">
        <v>513</v>
      </c>
      <c r="H466" s="674"/>
      <c r="I466" s="675"/>
      <c r="J466" s="375"/>
      <c r="K466" s="673" t="s">
        <v>514</v>
      </c>
      <c r="L466" s="674"/>
      <c r="M466" s="675"/>
      <c r="N466" s="376"/>
      <c r="O466" s="346"/>
      <c r="P466"/>
      <c r="Q466"/>
      <c r="T466"/>
    </row>
    <row r="467" spans="1:20" ht="24" customHeight="1" x14ac:dyDescent="0.3">
      <c r="A467" s="228"/>
      <c r="B467" s="47"/>
      <c r="C467" s="377"/>
      <c r="D467" s="11"/>
      <c r="E467" s="378"/>
      <c r="F467" s="379"/>
      <c r="G467" s="380"/>
      <c r="H467" s="380"/>
      <c r="I467" s="380"/>
      <c r="J467" s="379"/>
      <c r="K467" s="378"/>
      <c r="L467" s="2"/>
      <c r="M467" s="378"/>
      <c r="N467" s="381"/>
      <c r="O467" s="346"/>
      <c r="P467"/>
      <c r="Q467"/>
      <c r="T467"/>
    </row>
    <row r="468" spans="1:20" ht="32.25" customHeight="1" x14ac:dyDescent="0.3">
      <c r="A468" s="228"/>
      <c r="B468" s="47"/>
      <c r="C468" s="382" t="s">
        <v>515</v>
      </c>
      <c r="D468" s="383">
        <f>D464</f>
        <v>10</v>
      </c>
      <c r="E468" s="2" t="s">
        <v>516</v>
      </c>
      <c r="F468" s="379"/>
      <c r="G468" s="382" t="s">
        <v>517</v>
      </c>
      <c r="H468" s="3">
        <v>7</v>
      </c>
      <c r="I468" s="2" t="s">
        <v>518</v>
      </c>
      <c r="J468" s="379"/>
      <c r="K468" s="21" t="s">
        <v>519</v>
      </c>
      <c r="L468" s="163">
        <f>D476/H478</f>
        <v>5260.5</v>
      </c>
      <c r="M468" s="2" t="s">
        <v>520</v>
      </c>
      <c r="N468" s="381"/>
      <c r="O468" s="346"/>
      <c r="P468"/>
      <c r="Q468"/>
      <c r="T468"/>
    </row>
    <row r="469" spans="1:20" ht="38.25" customHeight="1" x14ac:dyDescent="0.3">
      <c r="A469" s="228"/>
      <c r="B469" s="47"/>
      <c r="C469" s="382" t="s">
        <v>521</v>
      </c>
      <c r="D469" s="11" t="s">
        <v>96</v>
      </c>
      <c r="E469" s="2" t="s">
        <v>522</v>
      </c>
      <c r="F469" s="379"/>
      <c r="G469" s="382" t="s">
        <v>523</v>
      </c>
      <c r="H469" s="11">
        <f>D471</f>
        <v>0.7</v>
      </c>
      <c r="I469" s="2" t="s">
        <v>524</v>
      </c>
      <c r="J469" s="379"/>
      <c r="K469" s="431" t="s">
        <v>604</v>
      </c>
      <c r="L469" s="385">
        <f>IF(L468/5/1000&lt;23.9,23.9,L468/5/1000)</f>
        <v>23.9</v>
      </c>
      <c r="M469" s="349" t="s">
        <v>525</v>
      </c>
      <c r="N469" s="381"/>
      <c r="O469" s="346"/>
      <c r="P469"/>
      <c r="Q469"/>
      <c r="T469"/>
    </row>
    <row r="470" spans="1:20" ht="30" customHeight="1" x14ac:dyDescent="0.3">
      <c r="A470" s="228"/>
      <c r="B470" s="47"/>
      <c r="C470" s="382" t="s">
        <v>526</v>
      </c>
      <c r="D470" s="11">
        <f>xx!H67</f>
        <v>1503</v>
      </c>
      <c r="E470" s="2" t="s">
        <v>527</v>
      </c>
      <c r="F470" s="379"/>
      <c r="G470" s="382" t="s">
        <v>528</v>
      </c>
      <c r="H470" s="11">
        <f>D473</f>
        <v>30</v>
      </c>
      <c r="I470" s="2" t="s">
        <v>518</v>
      </c>
      <c r="J470" s="379"/>
      <c r="K470" s="382" t="s">
        <v>601</v>
      </c>
      <c r="L470" s="11">
        <f>L468/5/1000</f>
        <v>1.0520999999999998</v>
      </c>
      <c r="M470" s="388"/>
      <c r="N470" s="381"/>
      <c r="O470" s="346"/>
      <c r="P470"/>
      <c r="Q470"/>
      <c r="T470"/>
    </row>
    <row r="471" spans="1:20" ht="30" customHeight="1" x14ac:dyDescent="0.3">
      <c r="A471" s="228"/>
      <c r="B471" s="47"/>
      <c r="C471" s="382" t="s">
        <v>529</v>
      </c>
      <c r="D471" s="11">
        <v>0.7</v>
      </c>
      <c r="E471" s="2" t="s">
        <v>524</v>
      </c>
      <c r="F471" s="379"/>
      <c r="G471" s="382" t="s">
        <v>530</v>
      </c>
      <c r="H471" s="11">
        <f>D474</f>
        <v>25</v>
      </c>
      <c r="I471" s="2" t="s">
        <v>518</v>
      </c>
      <c r="J471" s="379"/>
      <c r="K471" s="455"/>
      <c r="L471" s="455"/>
      <c r="M471" s="455"/>
      <c r="N471" s="381"/>
      <c r="O471" s="346"/>
      <c r="P471"/>
      <c r="Q471"/>
      <c r="T471"/>
    </row>
    <row r="472" spans="1:20" ht="30" customHeight="1" x14ac:dyDescent="0.3">
      <c r="A472" s="228"/>
      <c r="B472" s="47"/>
      <c r="C472" s="382" t="s">
        <v>531</v>
      </c>
      <c r="D472" s="383" t="s">
        <v>96</v>
      </c>
      <c r="E472" s="2" t="s">
        <v>532</v>
      </c>
      <c r="F472" s="379"/>
      <c r="G472" s="382" t="s">
        <v>533</v>
      </c>
      <c r="H472" s="2">
        <f>D475</f>
        <v>21</v>
      </c>
      <c r="I472" s="2" t="s">
        <v>534</v>
      </c>
      <c r="J472" s="379"/>
      <c r="K472" s="455"/>
      <c r="L472" s="455"/>
      <c r="M472" s="455"/>
      <c r="N472" s="381"/>
      <c r="O472" s="346"/>
      <c r="P472"/>
      <c r="Q472"/>
      <c r="T472"/>
    </row>
    <row r="473" spans="1:20" ht="30" customHeight="1" x14ac:dyDescent="0.3">
      <c r="A473" s="228"/>
      <c r="B473" s="47"/>
      <c r="C473" s="382" t="s">
        <v>535</v>
      </c>
      <c r="D473" s="11">
        <v>30</v>
      </c>
      <c r="E473" s="2" t="s">
        <v>518</v>
      </c>
      <c r="F473" s="379"/>
      <c r="G473" s="382" t="s">
        <v>536</v>
      </c>
      <c r="H473" s="2">
        <v>175</v>
      </c>
      <c r="I473" s="21" t="s">
        <v>537</v>
      </c>
      <c r="J473" s="379"/>
      <c r="K473" s="379"/>
      <c r="L473" s="375"/>
      <c r="M473" s="379"/>
      <c r="N473" s="381"/>
      <c r="O473" s="346"/>
      <c r="P473"/>
      <c r="Q473"/>
      <c r="T473"/>
    </row>
    <row r="474" spans="1:20" ht="30" customHeight="1" x14ac:dyDescent="0.3">
      <c r="A474" s="228"/>
      <c r="B474" s="47"/>
      <c r="C474" s="382" t="s">
        <v>538</v>
      </c>
      <c r="D474" s="11">
        <v>25</v>
      </c>
      <c r="E474" s="2" t="s">
        <v>518</v>
      </c>
      <c r="F474" s="379"/>
      <c r="G474" s="2"/>
      <c r="H474" s="21"/>
      <c r="I474" s="21"/>
      <c r="J474" s="379"/>
      <c r="K474" s="379"/>
      <c r="L474" s="375"/>
      <c r="M474" s="379"/>
      <c r="N474" s="381"/>
      <c r="O474" s="346"/>
      <c r="P474"/>
      <c r="Q474"/>
      <c r="T474"/>
    </row>
    <row r="475" spans="1:20" ht="30" customHeight="1" x14ac:dyDescent="0.3">
      <c r="A475" s="228"/>
      <c r="B475" s="47"/>
      <c r="C475" s="382" t="s">
        <v>539</v>
      </c>
      <c r="D475" s="2">
        <v>21</v>
      </c>
      <c r="E475" s="2" t="s">
        <v>534</v>
      </c>
      <c r="F475" s="379"/>
      <c r="G475" s="389" t="s">
        <v>540</v>
      </c>
      <c r="H475" s="390">
        <f>((D470*D471)/(H472*H473))*(LN((H470-H468)/(H471-H468)))</f>
        <v>7.0175057985443101E-2</v>
      </c>
      <c r="I475" s="389" t="s">
        <v>541</v>
      </c>
      <c r="J475" s="379"/>
      <c r="K475" s="388"/>
      <c r="L475" s="391"/>
      <c r="M475" s="388"/>
      <c r="N475" s="381"/>
      <c r="O475" s="346"/>
      <c r="P475"/>
      <c r="Q475"/>
      <c r="T475"/>
    </row>
    <row r="476" spans="1:20" ht="30" customHeight="1" x14ac:dyDescent="0.3">
      <c r="A476" s="228"/>
      <c r="B476" s="47"/>
      <c r="C476" s="392" t="s">
        <v>542</v>
      </c>
      <c r="D476" s="393">
        <f>D470*D471*(D473-D474)</f>
        <v>5260.5</v>
      </c>
      <c r="E476" s="389" t="s">
        <v>543</v>
      </c>
      <c r="F476" s="379"/>
      <c r="G476" s="670" t="s">
        <v>544</v>
      </c>
      <c r="H476" s="671"/>
      <c r="I476" s="672"/>
      <c r="J476" s="379"/>
      <c r="K476" s="388"/>
      <c r="L476" s="397"/>
      <c r="M476" s="388"/>
      <c r="N476" s="381"/>
      <c r="O476" s="346"/>
      <c r="P476"/>
      <c r="Q476"/>
      <c r="T476"/>
    </row>
    <row r="477" spans="1:20" ht="30" customHeight="1" x14ac:dyDescent="0.3">
      <c r="A477" s="228"/>
      <c r="B477" s="47"/>
      <c r="C477" s="379"/>
      <c r="D477" s="375"/>
      <c r="E477" s="379"/>
      <c r="F477" s="379"/>
      <c r="G477" s="398" t="s">
        <v>545</v>
      </c>
      <c r="H477" s="399">
        <v>60</v>
      </c>
      <c r="I477" s="400" t="s">
        <v>546</v>
      </c>
      <c r="J477" s="379"/>
      <c r="K477" s="388"/>
      <c r="L477" s="401"/>
      <c r="M477" s="401"/>
      <c r="N477" s="381"/>
      <c r="O477" s="229"/>
      <c r="P477"/>
      <c r="Q477"/>
      <c r="T477"/>
    </row>
    <row r="478" spans="1:20" ht="30" customHeight="1" x14ac:dyDescent="0.3">
      <c r="A478" s="228"/>
      <c r="B478" s="47"/>
      <c r="C478" s="379"/>
      <c r="D478" s="375"/>
      <c r="E478" s="379"/>
      <c r="F478" s="379"/>
      <c r="G478" s="398" t="s">
        <v>545</v>
      </c>
      <c r="H478" s="404">
        <f>H477/60</f>
        <v>1</v>
      </c>
      <c r="I478" s="400" t="s">
        <v>541</v>
      </c>
      <c r="J478" s="379"/>
      <c r="K478" s="388"/>
      <c r="L478" s="401"/>
      <c r="M478" s="401"/>
      <c r="N478" s="381"/>
      <c r="O478" s="229"/>
      <c r="P478"/>
      <c r="Q478"/>
      <c r="T478"/>
    </row>
    <row r="479" spans="1:20" ht="30" customHeight="1" x14ac:dyDescent="0.3">
      <c r="A479" s="228"/>
      <c r="B479" s="47"/>
      <c r="C479" s="379"/>
      <c r="D479" s="375"/>
      <c r="E479" s="379"/>
      <c r="F479" s="379"/>
      <c r="G479"/>
      <c r="H479"/>
      <c r="I479"/>
      <c r="J479" s="379"/>
      <c r="K479" s="388"/>
      <c r="L479" s="401"/>
      <c r="M479" s="401"/>
      <c r="N479" s="381"/>
      <c r="O479" s="229"/>
      <c r="P479"/>
      <c r="Q479"/>
      <c r="T479"/>
    </row>
    <row r="480" spans="1:20" ht="30" customHeight="1" thickBot="1" x14ac:dyDescent="0.35">
      <c r="A480" s="228"/>
      <c r="B480" s="47"/>
      <c r="C480" s="379"/>
      <c r="D480" s="375"/>
      <c r="E480" s="379"/>
      <c r="F480" s="379"/>
      <c r="G480"/>
      <c r="H480"/>
      <c r="I480"/>
      <c r="J480" s="379"/>
      <c r="K480" s="388"/>
      <c r="L480" s="401"/>
      <c r="M480" s="401"/>
      <c r="N480" s="381"/>
      <c r="O480" s="229"/>
      <c r="P480"/>
      <c r="Q480"/>
      <c r="T480"/>
    </row>
    <row r="481" spans="1:32" ht="55.5" customHeight="1" x14ac:dyDescent="0.3">
      <c r="A481" s="228"/>
      <c r="B481" s="365" t="s">
        <v>498</v>
      </c>
      <c r="C481" s="366" t="s">
        <v>499</v>
      </c>
      <c r="D481" s="366" t="s">
        <v>500</v>
      </c>
      <c r="E481" s="366" t="s">
        <v>501</v>
      </c>
      <c r="F481" s="366" t="s">
        <v>502</v>
      </c>
      <c r="G481" s="366" t="s">
        <v>503</v>
      </c>
      <c r="H481" s="366" t="s">
        <v>504</v>
      </c>
      <c r="I481" s="366" t="s">
        <v>505</v>
      </c>
      <c r="J481" s="366" t="s">
        <v>506</v>
      </c>
      <c r="K481" s="366" t="s">
        <v>507</v>
      </c>
      <c r="L481" s="366" t="s">
        <v>508</v>
      </c>
      <c r="M481" s="679" t="s">
        <v>509</v>
      </c>
      <c r="N481" s="680"/>
      <c r="O481" s="346"/>
      <c r="P481"/>
      <c r="Q481"/>
      <c r="T481"/>
    </row>
    <row r="482" spans="1:32" s="13" customFormat="1" ht="35.25" customHeight="1" thickBot="1" x14ac:dyDescent="0.35">
      <c r="A482" s="407"/>
      <c r="B482" s="369">
        <v>47</v>
      </c>
      <c r="C482" s="239" t="s">
        <v>555</v>
      </c>
      <c r="D482" s="212">
        <v>10</v>
      </c>
      <c r="E482" s="212" t="s">
        <v>511</v>
      </c>
      <c r="F482" s="222" t="s">
        <v>96</v>
      </c>
      <c r="G482" s="222">
        <v>25</v>
      </c>
      <c r="H482" s="370" t="s">
        <v>96</v>
      </c>
      <c r="I482" s="212" t="s">
        <v>96</v>
      </c>
      <c r="J482" s="212" t="s">
        <v>96</v>
      </c>
      <c r="K482" s="222" t="s">
        <v>96</v>
      </c>
      <c r="L482" s="371">
        <f>H496</f>
        <v>1</v>
      </c>
      <c r="M482" s="681">
        <f>L487</f>
        <v>23.9</v>
      </c>
      <c r="N482" s="682"/>
      <c r="O482" s="346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1:32" ht="26.25" customHeight="1" x14ac:dyDescent="0.3">
      <c r="A483" s="228"/>
      <c r="B483" s="683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9"/>
      <c r="O483" s="346"/>
      <c r="P483"/>
      <c r="Q483"/>
      <c r="T483"/>
    </row>
    <row r="484" spans="1:32" ht="28.5" customHeight="1" x14ac:dyDescent="0.3">
      <c r="A484" s="228"/>
      <c r="B484" s="47"/>
      <c r="C484" s="673" t="s">
        <v>512</v>
      </c>
      <c r="D484" s="674"/>
      <c r="E484" s="675"/>
      <c r="F484" s="375"/>
      <c r="G484" s="673" t="s">
        <v>513</v>
      </c>
      <c r="H484" s="674"/>
      <c r="I484" s="675"/>
      <c r="J484" s="375"/>
      <c r="K484" s="673" t="s">
        <v>514</v>
      </c>
      <c r="L484" s="674"/>
      <c r="M484" s="675"/>
      <c r="N484" s="376"/>
      <c r="O484" s="346"/>
      <c r="P484"/>
      <c r="Q484"/>
      <c r="T484"/>
    </row>
    <row r="485" spans="1:32" ht="24" customHeight="1" x14ac:dyDescent="0.3">
      <c r="A485" s="228"/>
      <c r="B485" s="47"/>
      <c r="C485" s="377"/>
      <c r="D485" s="11"/>
      <c r="E485" s="378"/>
      <c r="F485" s="379"/>
      <c r="G485" s="380"/>
      <c r="H485" s="380"/>
      <c r="I485" s="380"/>
      <c r="J485" s="379"/>
      <c r="K485" s="378"/>
      <c r="L485" s="2"/>
      <c r="M485" s="378"/>
      <c r="N485" s="381"/>
      <c r="O485" s="346"/>
      <c r="P485"/>
      <c r="Q485"/>
      <c r="T485"/>
    </row>
    <row r="486" spans="1:32" ht="32.25" customHeight="1" x14ac:dyDescent="0.3">
      <c r="A486" s="228"/>
      <c r="B486" s="47"/>
      <c r="C486" s="382" t="s">
        <v>515</v>
      </c>
      <c r="D486" s="383">
        <f>D482</f>
        <v>10</v>
      </c>
      <c r="E486" s="2" t="s">
        <v>516</v>
      </c>
      <c r="F486" s="379"/>
      <c r="G486" s="382" t="s">
        <v>517</v>
      </c>
      <c r="H486" s="3">
        <v>7</v>
      </c>
      <c r="I486" s="2" t="s">
        <v>518</v>
      </c>
      <c r="J486" s="379"/>
      <c r="K486" s="21" t="s">
        <v>519</v>
      </c>
      <c r="L486" s="163">
        <f>D494/H496</f>
        <v>5285</v>
      </c>
      <c r="M486" s="2" t="s">
        <v>520</v>
      </c>
      <c r="N486" s="381"/>
      <c r="O486" s="346"/>
      <c r="P486"/>
      <c r="Q486"/>
      <c r="T486"/>
    </row>
    <row r="487" spans="1:32" ht="38.25" customHeight="1" x14ac:dyDescent="0.3">
      <c r="A487" s="228"/>
      <c r="B487" s="47"/>
      <c r="C487" s="382" t="s">
        <v>521</v>
      </c>
      <c r="D487" s="11" t="s">
        <v>96</v>
      </c>
      <c r="E487" s="2" t="s">
        <v>522</v>
      </c>
      <c r="F487" s="379"/>
      <c r="G487" s="382" t="s">
        <v>523</v>
      </c>
      <c r="H487" s="11">
        <f>D489</f>
        <v>0.7</v>
      </c>
      <c r="I487" s="2" t="s">
        <v>524</v>
      </c>
      <c r="J487" s="379"/>
      <c r="K487" s="431" t="s">
        <v>604</v>
      </c>
      <c r="L487" s="385">
        <f>IF(L486/5/1000&lt;23.9,23.9,L486/5/1000)</f>
        <v>23.9</v>
      </c>
      <c r="M487" s="349" t="s">
        <v>525</v>
      </c>
      <c r="N487" s="381"/>
      <c r="O487" s="346"/>
      <c r="P487"/>
      <c r="Q487"/>
      <c r="T487"/>
    </row>
    <row r="488" spans="1:32" ht="30" customHeight="1" x14ac:dyDescent="0.3">
      <c r="A488" s="228"/>
      <c r="B488" s="47"/>
      <c r="C488" s="382" t="s">
        <v>526</v>
      </c>
      <c r="D488" s="11">
        <f>xx!H69</f>
        <v>1510</v>
      </c>
      <c r="E488" s="2" t="s">
        <v>527</v>
      </c>
      <c r="F488" s="379"/>
      <c r="G488" s="382" t="s">
        <v>528</v>
      </c>
      <c r="H488" s="11">
        <f>D491</f>
        <v>30</v>
      </c>
      <c r="I488" s="2" t="s">
        <v>518</v>
      </c>
      <c r="J488" s="379"/>
      <c r="K488" s="382" t="s">
        <v>601</v>
      </c>
      <c r="L488" s="11">
        <f>L486/5/1000</f>
        <v>1.0569999999999999</v>
      </c>
      <c r="M488" s="388"/>
      <c r="N488" s="381"/>
      <c r="O488" s="346"/>
      <c r="P488"/>
      <c r="Q488"/>
      <c r="T488"/>
    </row>
    <row r="489" spans="1:32" ht="30" customHeight="1" x14ac:dyDescent="0.3">
      <c r="A489" s="228"/>
      <c r="B489" s="47"/>
      <c r="C489" s="382" t="s">
        <v>529</v>
      </c>
      <c r="D489" s="11">
        <v>0.7</v>
      </c>
      <c r="E489" s="2" t="s">
        <v>524</v>
      </c>
      <c r="F489" s="379"/>
      <c r="G489" s="382" t="s">
        <v>530</v>
      </c>
      <c r="H489" s="11">
        <f>D492</f>
        <v>25</v>
      </c>
      <c r="I489" s="2" t="s">
        <v>518</v>
      </c>
      <c r="J489" s="379"/>
      <c r="K489" s="455"/>
      <c r="L489" s="455"/>
      <c r="M489" s="455"/>
      <c r="N489" s="381"/>
      <c r="O489" s="346"/>
      <c r="P489"/>
      <c r="Q489"/>
      <c r="T489"/>
    </row>
    <row r="490" spans="1:32" ht="30" customHeight="1" x14ac:dyDescent="0.3">
      <c r="A490" s="228"/>
      <c r="B490" s="47"/>
      <c r="C490" s="382" t="s">
        <v>531</v>
      </c>
      <c r="D490" s="383" t="s">
        <v>96</v>
      </c>
      <c r="E490" s="2" t="s">
        <v>532</v>
      </c>
      <c r="F490" s="379"/>
      <c r="G490" s="382" t="s">
        <v>533</v>
      </c>
      <c r="H490" s="2">
        <f>D493</f>
        <v>21</v>
      </c>
      <c r="I490" s="2" t="s">
        <v>534</v>
      </c>
      <c r="J490" s="379"/>
      <c r="K490" s="455"/>
      <c r="L490" s="455"/>
      <c r="M490" s="455"/>
      <c r="N490" s="381"/>
      <c r="O490" s="346"/>
      <c r="P490"/>
      <c r="Q490"/>
      <c r="T490"/>
    </row>
    <row r="491" spans="1:32" ht="30" customHeight="1" x14ac:dyDescent="0.3">
      <c r="A491" s="228"/>
      <c r="B491" s="47"/>
      <c r="C491" s="382" t="s">
        <v>535</v>
      </c>
      <c r="D491" s="11">
        <v>30</v>
      </c>
      <c r="E491" s="2" t="s">
        <v>518</v>
      </c>
      <c r="F491" s="379"/>
      <c r="G491" s="382" t="s">
        <v>536</v>
      </c>
      <c r="H491" s="2">
        <v>175</v>
      </c>
      <c r="I491" s="21" t="s">
        <v>537</v>
      </c>
      <c r="J491" s="379"/>
      <c r="K491" s="379"/>
      <c r="L491" s="375"/>
      <c r="M491" s="379"/>
      <c r="N491" s="381"/>
      <c r="O491" s="346"/>
      <c r="P491"/>
      <c r="Q491"/>
      <c r="T491"/>
    </row>
    <row r="492" spans="1:32" ht="30" customHeight="1" x14ac:dyDescent="0.3">
      <c r="A492" s="228"/>
      <c r="B492" s="47"/>
      <c r="C492" s="382" t="s">
        <v>538</v>
      </c>
      <c r="D492" s="11">
        <v>25</v>
      </c>
      <c r="E492" s="2" t="s">
        <v>518</v>
      </c>
      <c r="F492" s="379"/>
      <c r="G492" s="2"/>
      <c r="H492" s="21"/>
      <c r="I492" s="21"/>
      <c r="J492" s="379"/>
      <c r="K492" s="379"/>
      <c r="L492" s="375"/>
      <c r="M492" s="379"/>
      <c r="N492" s="381"/>
      <c r="O492" s="346"/>
      <c r="P492"/>
      <c r="Q492"/>
      <c r="T492"/>
    </row>
    <row r="493" spans="1:32" ht="30" customHeight="1" x14ac:dyDescent="0.3">
      <c r="A493" s="228"/>
      <c r="B493" s="47"/>
      <c r="C493" s="382" t="s">
        <v>539</v>
      </c>
      <c r="D493" s="2">
        <v>21</v>
      </c>
      <c r="E493" s="2" t="s">
        <v>534</v>
      </c>
      <c r="F493" s="379"/>
      <c r="G493" s="389" t="s">
        <v>540</v>
      </c>
      <c r="H493" s="390">
        <f>((D488*D489)/(H490*H491))*(LN((H488-H486)/(H489-H486)))</f>
        <v>7.0501887929487084E-2</v>
      </c>
      <c r="I493" s="389" t="s">
        <v>541</v>
      </c>
      <c r="J493" s="379"/>
      <c r="K493" s="388"/>
      <c r="L493" s="391"/>
      <c r="M493" s="388"/>
      <c r="N493" s="381"/>
      <c r="O493" s="346"/>
      <c r="P493"/>
      <c r="Q493"/>
      <c r="T493"/>
    </row>
    <row r="494" spans="1:32" ht="30" customHeight="1" x14ac:dyDescent="0.3">
      <c r="A494" s="228"/>
      <c r="B494" s="47"/>
      <c r="C494" s="392" t="s">
        <v>542</v>
      </c>
      <c r="D494" s="393">
        <f>D488*D489*(D491-D492)</f>
        <v>5285</v>
      </c>
      <c r="E494" s="389" t="s">
        <v>543</v>
      </c>
      <c r="F494" s="379"/>
      <c r="G494" s="670" t="s">
        <v>544</v>
      </c>
      <c r="H494" s="671"/>
      <c r="I494" s="672"/>
      <c r="J494" s="379"/>
      <c r="K494" s="388"/>
      <c r="L494" s="397"/>
      <c r="M494" s="388"/>
      <c r="N494" s="381"/>
      <c r="O494" s="346"/>
      <c r="P494"/>
      <c r="Q494"/>
      <c r="T494"/>
    </row>
    <row r="495" spans="1:32" ht="30" customHeight="1" x14ac:dyDescent="0.3">
      <c r="A495" s="228"/>
      <c r="B495" s="47"/>
      <c r="C495" s="379"/>
      <c r="D495" s="375"/>
      <c r="E495" s="379"/>
      <c r="F495" s="379"/>
      <c r="G495" s="398" t="s">
        <v>545</v>
      </c>
      <c r="H495" s="399">
        <v>60</v>
      </c>
      <c r="I495" s="400" t="s">
        <v>546</v>
      </c>
      <c r="J495" s="379"/>
      <c r="K495" s="388"/>
      <c r="L495" s="401"/>
      <c r="M495" s="401"/>
      <c r="N495" s="381"/>
      <c r="O495" s="229"/>
      <c r="P495"/>
      <c r="Q495"/>
      <c r="T495"/>
    </row>
    <row r="496" spans="1:32" ht="30" customHeight="1" x14ac:dyDescent="0.3">
      <c r="A496" s="228"/>
      <c r="B496" s="47"/>
      <c r="C496" s="379"/>
      <c r="D496" s="375"/>
      <c r="E496" s="379"/>
      <c r="F496" s="379"/>
      <c r="G496" s="398" t="s">
        <v>545</v>
      </c>
      <c r="H496" s="404">
        <f>H495/60</f>
        <v>1</v>
      </c>
      <c r="I496" s="400" t="s">
        <v>541</v>
      </c>
      <c r="J496" s="379"/>
      <c r="K496" s="388"/>
      <c r="L496" s="401"/>
      <c r="M496" s="401"/>
      <c r="N496" s="381"/>
      <c r="O496" s="229"/>
      <c r="P496"/>
      <c r="Q496"/>
      <c r="T496"/>
    </row>
    <row r="497" spans="1:20" ht="30" customHeight="1" x14ac:dyDescent="0.3">
      <c r="A497" s="228"/>
      <c r="B497" s="47"/>
      <c r="C497" s="379"/>
      <c r="D497" s="375"/>
      <c r="E497" s="379"/>
      <c r="F497" s="379"/>
      <c r="G497"/>
      <c r="H497"/>
      <c r="I497"/>
      <c r="J497" s="379"/>
      <c r="K497" s="388"/>
      <c r="L497" s="401"/>
      <c r="M497" s="401"/>
      <c r="N497" s="381"/>
      <c r="O497" s="229"/>
      <c r="P497"/>
      <c r="Q497"/>
      <c r="T497"/>
    </row>
    <row r="498" spans="1:20" ht="30" customHeight="1" thickBot="1" x14ac:dyDescent="0.35">
      <c r="A498" s="228"/>
      <c r="B498" s="47"/>
      <c r="C498" s="379"/>
      <c r="D498" s="375"/>
      <c r="E498" s="379"/>
      <c r="F498" s="379"/>
      <c r="G498"/>
      <c r="H498"/>
      <c r="I498"/>
      <c r="J498" s="379"/>
      <c r="K498" s="388"/>
      <c r="L498" s="401"/>
      <c r="M498" s="401"/>
      <c r="N498" s="381"/>
      <c r="O498" s="229"/>
      <c r="P498"/>
      <c r="Q498"/>
      <c r="T498"/>
    </row>
    <row r="499" spans="1:20" ht="52.5" customHeight="1" x14ac:dyDescent="0.3">
      <c r="A499" s="228"/>
      <c r="B499" s="365" t="s">
        <v>498</v>
      </c>
      <c r="C499" s="366" t="s">
        <v>499</v>
      </c>
      <c r="D499" s="366" t="s">
        <v>500</v>
      </c>
      <c r="E499" s="366" t="s">
        <v>501</v>
      </c>
      <c r="F499" s="366" t="s">
        <v>502</v>
      </c>
      <c r="G499" s="366" t="s">
        <v>574</v>
      </c>
      <c r="H499" s="366" t="s">
        <v>504</v>
      </c>
      <c r="I499" s="366" t="s">
        <v>505</v>
      </c>
      <c r="J499" s="366" t="s">
        <v>506</v>
      </c>
      <c r="K499" s="366" t="s">
        <v>507</v>
      </c>
      <c r="L499" s="366" t="s">
        <v>562</v>
      </c>
      <c r="M499" s="679" t="s">
        <v>563</v>
      </c>
      <c r="N499" s="680"/>
      <c r="O499" s="229"/>
      <c r="P499"/>
      <c r="Q499"/>
      <c r="T499"/>
    </row>
    <row r="500" spans="1:20" ht="30" customHeight="1" thickBot="1" x14ac:dyDescent="0.35">
      <c r="A500" s="228"/>
      <c r="B500" s="369">
        <v>49</v>
      </c>
      <c r="C500" s="222" t="s">
        <v>555</v>
      </c>
      <c r="D500" s="222">
        <v>10</v>
      </c>
      <c r="E500" s="212" t="s">
        <v>511</v>
      </c>
      <c r="F500" s="222" t="s">
        <v>96</v>
      </c>
      <c r="G500" s="222">
        <v>65</v>
      </c>
      <c r="H500" s="456" t="e">
        <f>(#REF!/#REF!)/#REF!</f>
        <v>#REF!</v>
      </c>
      <c r="I500" s="212" t="s">
        <v>96</v>
      </c>
      <c r="J500" s="212" t="s">
        <v>96</v>
      </c>
      <c r="K500" s="481" t="s">
        <v>96</v>
      </c>
      <c r="L500" s="371">
        <f>H514</f>
        <v>12</v>
      </c>
      <c r="M500" s="681">
        <f>L505</f>
        <v>19.064705882352939</v>
      </c>
      <c r="N500" s="682"/>
      <c r="O500" s="229"/>
      <c r="P500"/>
      <c r="Q500"/>
      <c r="T500"/>
    </row>
    <row r="501" spans="1:20" ht="30" customHeight="1" x14ac:dyDescent="0.3">
      <c r="A501" s="228"/>
      <c r="B501" s="683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9"/>
      <c r="O501" s="229"/>
      <c r="P501"/>
      <c r="Q501"/>
      <c r="T501"/>
    </row>
    <row r="502" spans="1:20" ht="30" customHeight="1" x14ac:dyDescent="0.3">
      <c r="A502" s="228"/>
      <c r="B502" s="47"/>
      <c r="C502" s="673" t="s">
        <v>564</v>
      </c>
      <c r="D502" s="674"/>
      <c r="E502" s="675"/>
      <c r="F502" s="375"/>
      <c r="G502" s="673" t="s">
        <v>565</v>
      </c>
      <c r="H502" s="674"/>
      <c r="I502" s="675"/>
      <c r="J502" s="375"/>
      <c r="K502" s="673" t="s">
        <v>566</v>
      </c>
      <c r="L502" s="674"/>
      <c r="M502" s="675"/>
      <c r="N502" s="376"/>
      <c r="O502" s="229"/>
      <c r="P502"/>
      <c r="Q502"/>
      <c r="T502"/>
    </row>
    <row r="503" spans="1:20" ht="30" customHeight="1" x14ac:dyDescent="0.3">
      <c r="A503" s="228"/>
      <c r="B503" s="47"/>
      <c r="C503" s="438"/>
      <c r="D503" s="439"/>
      <c r="E503" s="440"/>
      <c r="F503" s="420"/>
      <c r="G503" s="441"/>
      <c r="H503" s="420"/>
      <c r="I503" s="442"/>
      <c r="J503" s="420"/>
      <c r="K503" s="443"/>
      <c r="L503" s="420"/>
      <c r="M503" s="444"/>
      <c r="N503" s="376"/>
      <c r="O503" s="229"/>
      <c r="P503"/>
      <c r="Q503"/>
      <c r="T503"/>
    </row>
    <row r="504" spans="1:20" ht="30" customHeight="1" x14ac:dyDescent="0.3">
      <c r="A504" s="228"/>
      <c r="B504" s="47"/>
      <c r="C504" s="382" t="s">
        <v>515</v>
      </c>
      <c r="D504" s="11">
        <f>D500</f>
        <v>10</v>
      </c>
      <c r="E504" s="2" t="s">
        <v>516</v>
      </c>
      <c r="F504" s="420"/>
      <c r="G504" s="382" t="s">
        <v>517</v>
      </c>
      <c r="H504" s="3">
        <v>143</v>
      </c>
      <c r="I504" s="2" t="s">
        <v>518</v>
      </c>
      <c r="J504" s="420"/>
      <c r="K504" s="21" t="s">
        <v>519</v>
      </c>
      <c r="L504" s="445">
        <f>D513/H514</f>
        <v>9722.9999999999982</v>
      </c>
      <c r="M504" s="2" t="s">
        <v>520</v>
      </c>
      <c r="N504" s="376"/>
      <c r="O504" s="229"/>
      <c r="P504"/>
      <c r="Q504"/>
      <c r="T504"/>
    </row>
    <row r="505" spans="1:20" ht="37.5" customHeight="1" x14ac:dyDescent="0.3">
      <c r="A505" s="228"/>
      <c r="B505" s="47"/>
      <c r="C505" s="382" t="s">
        <v>521</v>
      </c>
      <c r="D505" s="11" t="s">
        <v>96</v>
      </c>
      <c r="E505" s="2" t="s">
        <v>522</v>
      </c>
      <c r="F505" s="420"/>
      <c r="G505" s="382" t="s">
        <v>523</v>
      </c>
      <c r="H505" s="11">
        <f>D507</f>
        <v>0.7</v>
      </c>
      <c r="I505" s="2" t="s">
        <v>524</v>
      </c>
      <c r="J505" s="420"/>
      <c r="K505" s="431" t="s">
        <v>569</v>
      </c>
      <c r="L505" s="432">
        <f>L504/D512</f>
        <v>19.064705882352939</v>
      </c>
      <c r="M505" s="349" t="s">
        <v>570</v>
      </c>
      <c r="N505" s="376"/>
      <c r="O505" s="229"/>
      <c r="P505"/>
      <c r="Q505"/>
      <c r="T505"/>
    </row>
    <row r="506" spans="1:20" ht="30" customHeight="1" x14ac:dyDescent="0.3">
      <c r="A506" s="228"/>
      <c r="B506" s="47"/>
      <c r="C506" s="382" t="s">
        <v>526</v>
      </c>
      <c r="D506" s="3">
        <f>xx!J70</f>
        <v>4167</v>
      </c>
      <c r="E506" s="2" t="s">
        <v>527</v>
      </c>
      <c r="F506" s="420"/>
      <c r="G506" s="382" t="s">
        <v>528</v>
      </c>
      <c r="H506" s="11">
        <f>D509</f>
        <v>25</v>
      </c>
      <c r="I506" s="2" t="s">
        <v>518</v>
      </c>
      <c r="J506" s="420"/>
      <c r="K506" s="420"/>
      <c r="L506" s="449"/>
      <c r="M506" s="420"/>
      <c r="N506" s="376"/>
      <c r="O506" s="229"/>
      <c r="P506"/>
      <c r="Q506"/>
      <c r="T506"/>
    </row>
    <row r="507" spans="1:20" ht="30" customHeight="1" x14ac:dyDescent="0.3">
      <c r="A507" s="228"/>
      <c r="B507" s="47"/>
      <c r="C507" s="382" t="s">
        <v>529</v>
      </c>
      <c r="D507" s="11">
        <v>0.7</v>
      </c>
      <c r="E507" s="2" t="s">
        <v>524</v>
      </c>
      <c r="F507" s="420"/>
      <c r="G507" s="382" t="s">
        <v>530</v>
      </c>
      <c r="H507" s="11">
        <f>D510</f>
        <v>65</v>
      </c>
      <c r="I507" s="2" t="s">
        <v>518</v>
      </c>
      <c r="J507" s="420"/>
      <c r="K507" s="420"/>
      <c r="L507" s="449"/>
      <c r="M507" s="420"/>
      <c r="N507" s="376"/>
      <c r="O507" s="229"/>
      <c r="P507"/>
      <c r="Q507"/>
      <c r="T507"/>
    </row>
    <row r="508" spans="1:20" ht="30" customHeight="1" x14ac:dyDescent="0.3">
      <c r="A508" s="228"/>
      <c r="B508" s="47"/>
      <c r="C508" s="382" t="s">
        <v>531</v>
      </c>
      <c r="D508" s="383">
        <v>80</v>
      </c>
      <c r="E508" s="2" t="s">
        <v>532</v>
      </c>
      <c r="F508" s="420"/>
      <c r="G508" s="382" t="s">
        <v>533</v>
      </c>
      <c r="H508" s="11">
        <f>D511</f>
        <v>21</v>
      </c>
      <c r="I508" s="2" t="s">
        <v>534</v>
      </c>
      <c r="J508" s="420"/>
      <c r="K508" s="420"/>
      <c r="L508" s="375"/>
      <c r="M508" s="420"/>
      <c r="N508" s="376"/>
      <c r="O508" s="229"/>
      <c r="P508"/>
      <c r="Q508"/>
      <c r="T508"/>
    </row>
    <row r="509" spans="1:20" ht="30" customHeight="1" x14ac:dyDescent="0.3">
      <c r="A509" s="228"/>
      <c r="B509" s="47"/>
      <c r="C509" s="382" t="s">
        <v>535</v>
      </c>
      <c r="D509" s="11">
        <v>25</v>
      </c>
      <c r="E509" s="2" t="s">
        <v>518</v>
      </c>
      <c r="F509" s="420"/>
      <c r="G509" s="382" t="s">
        <v>536</v>
      </c>
      <c r="H509" s="2">
        <v>400</v>
      </c>
      <c r="I509" s="21" t="s">
        <v>537</v>
      </c>
      <c r="J509" s="420"/>
      <c r="K509" s="420"/>
      <c r="L509" s="420"/>
      <c r="M509" s="420"/>
      <c r="N509" s="376"/>
      <c r="O509" s="229"/>
      <c r="P509"/>
      <c r="Q509"/>
      <c r="T509"/>
    </row>
    <row r="510" spans="1:20" ht="30" customHeight="1" x14ac:dyDescent="0.3">
      <c r="A510" s="228"/>
      <c r="B510" s="47"/>
      <c r="C510" s="382" t="s">
        <v>538</v>
      </c>
      <c r="D510" s="11">
        <f>G500</f>
        <v>65</v>
      </c>
      <c r="E510" s="2" t="s">
        <v>518</v>
      </c>
      <c r="F510" s="420"/>
      <c r="G510" s="2"/>
      <c r="H510" s="21"/>
      <c r="I510" s="21"/>
      <c r="J510" s="420"/>
      <c r="K510" s="420"/>
      <c r="L510" s="420"/>
      <c r="M510" s="420"/>
      <c r="N510" s="376"/>
      <c r="O510" s="229"/>
      <c r="P510"/>
      <c r="Q510"/>
      <c r="T510"/>
    </row>
    <row r="511" spans="1:20" ht="30" customHeight="1" x14ac:dyDescent="0.3">
      <c r="A511" s="228"/>
      <c r="B511" s="47"/>
      <c r="C511" s="382" t="s">
        <v>539</v>
      </c>
      <c r="D511" s="11">
        <v>21</v>
      </c>
      <c r="E511" s="2" t="s">
        <v>534</v>
      </c>
      <c r="F511" s="420"/>
      <c r="G511" s="389" t="s">
        <v>540</v>
      </c>
      <c r="H511" s="390" t="e">
        <f>(((D506*D507*(D510-D509)+D506*D508*H500)/(H508*H509))*(LN((H504-H506)/(H504-H507))))</f>
        <v>#REF!</v>
      </c>
      <c r="I511" s="389" t="s">
        <v>541</v>
      </c>
      <c r="J511" s="420"/>
      <c r="K511" s="420"/>
      <c r="L511" s="420"/>
      <c r="M511" s="420"/>
      <c r="N511" s="376"/>
      <c r="O511" s="229"/>
      <c r="P511"/>
      <c r="Q511"/>
      <c r="T511"/>
    </row>
    <row r="512" spans="1:20" ht="30" customHeight="1" x14ac:dyDescent="0.3">
      <c r="A512" s="228"/>
      <c r="B512" s="47"/>
      <c r="C512" s="382" t="s">
        <v>571</v>
      </c>
      <c r="D512" s="11">
        <v>510</v>
      </c>
      <c r="E512" s="2" t="s">
        <v>572</v>
      </c>
      <c r="F512" s="420"/>
      <c r="G512" s="670" t="s">
        <v>567</v>
      </c>
      <c r="H512" s="671"/>
      <c r="I512" s="672"/>
      <c r="J512" s="420"/>
      <c r="K512" s="420"/>
      <c r="L512" s="420"/>
      <c r="M512" s="420"/>
      <c r="N512" s="376"/>
      <c r="O512" s="229"/>
      <c r="P512"/>
      <c r="Q512"/>
      <c r="T512"/>
    </row>
    <row r="513" spans="1:20" ht="30" customHeight="1" x14ac:dyDescent="0.3">
      <c r="A513" s="228"/>
      <c r="B513" s="47"/>
      <c r="C513" s="392" t="s">
        <v>573</v>
      </c>
      <c r="D513" s="393">
        <f>(D506*D507*(D510-D509))</f>
        <v>116675.99999999999</v>
      </c>
      <c r="E513" s="389" t="s">
        <v>543</v>
      </c>
      <c r="F513" s="420"/>
      <c r="G513" s="398" t="s">
        <v>568</v>
      </c>
      <c r="H513" s="399">
        <v>720</v>
      </c>
      <c r="I513" s="400" t="s">
        <v>546</v>
      </c>
      <c r="J513" s="420"/>
      <c r="K513" s="420"/>
      <c r="L513" s="420"/>
      <c r="M513" s="420"/>
      <c r="N513" s="376"/>
      <c r="O513" s="229"/>
      <c r="P513"/>
      <c r="Q513"/>
      <c r="T513"/>
    </row>
    <row r="514" spans="1:20" ht="30" customHeight="1" x14ac:dyDescent="0.3">
      <c r="A514" s="228"/>
      <c r="B514" s="47"/>
      <c r="C514"/>
      <c r="D514"/>
      <c r="E514"/>
      <c r="F514"/>
      <c r="G514" s="398" t="s">
        <v>568</v>
      </c>
      <c r="H514" s="404">
        <f>H513/60</f>
        <v>12</v>
      </c>
      <c r="I514" s="400" t="s">
        <v>541</v>
      </c>
      <c r="J514" s="379"/>
      <c r="K514" s="388"/>
      <c r="L514" s="401"/>
      <c r="M514" s="401"/>
      <c r="N514" s="381"/>
      <c r="O514" s="229"/>
      <c r="P514"/>
      <c r="Q514"/>
      <c r="T514"/>
    </row>
    <row r="515" spans="1:20" ht="30" customHeight="1" x14ac:dyDescent="0.3">
      <c r="A515" s="228"/>
      <c r="B515" s="47"/>
      <c r="C515" s="379"/>
      <c r="D515" s="410"/>
      <c r="E515" s="410"/>
      <c r="F515" s="379"/>
      <c r="G515"/>
      <c r="H515"/>
      <c r="I515"/>
      <c r="J515" s="379"/>
      <c r="K515" s="388"/>
      <c r="L515" s="401"/>
      <c r="M515" s="401"/>
      <c r="N515" s="381"/>
      <c r="O515" s="229"/>
      <c r="P515"/>
      <c r="Q515"/>
      <c r="T515"/>
    </row>
    <row r="516" spans="1:20" ht="30" customHeight="1" thickBot="1" x14ac:dyDescent="0.35">
      <c r="A516" s="228"/>
      <c r="B516" s="47"/>
      <c r="C516" s="379"/>
      <c r="D516" s="410"/>
      <c r="E516" s="410"/>
      <c r="F516" s="379"/>
      <c r="G516"/>
      <c r="H516"/>
      <c r="I516"/>
      <c r="J516" s="379"/>
      <c r="K516" s="388"/>
      <c r="L516" s="401"/>
      <c r="M516" s="401"/>
      <c r="N516" s="381"/>
      <c r="O516" s="229"/>
      <c r="P516"/>
      <c r="Q516"/>
      <c r="T516"/>
    </row>
    <row r="517" spans="1:20" ht="43.5" customHeight="1" thickBot="1" x14ac:dyDescent="0.35">
      <c r="A517" s="228"/>
      <c r="B517" s="713" t="s">
        <v>590</v>
      </c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5"/>
      <c r="O517" s="229"/>
      <c r="P517"/>
      <c r="Q517"/>
      <c r="T517"/>
    </row>
    <row r="518" spans="1:20" s="303" customFormat="1" ht="62.25" customHeight="1" x14ac:dyDescent="0.3">
      <c r="A518" s="364"/>
      <c r="B518" s="365" t="s">
        <v>498</v>
      </c>
      <c r="C518" s="366" t="s">
        <v>499</v>
      </c>
      <c r="D518" s="366" t="s">
        <v>500</v>
      </c>
      <c r="E518" s="366" t="s">
        <v>501</v>
      </c>
      <c r="F518" s="366" t="s">
        <v>502</v>
      </c>
      <c r="G518" s="366" t="s">
        <v>503</v>
      </c>
      <c r="H518" s="366" t="s">
        <v>504</v>
      </c>
      <c r="I518" s="366" t="s">
        <v>505</v>
      </c>
      <c r="J518" s="366" t="s">
        <v>506</v>
      </c>
      <c r="K518" s="366" t="s">
        <v>507</v>
      </c>
      <c r="L518" s="366" t="s">
        <v>575</v>
      </c>
      <c r="M518" s="679" t="s">
        <v>576</v>
      </c>
      <c r="N518" s="680"/>
      <c r="O518" s="367"/>
      <c r="T518" s="368"/>
    </row>
    <row r="519" spans="1:20" ht="36.75" customHeight="1" thickBot="1" x14ac:dyDescent="0.35">
      <c r="A519" s="228"/>
      <c r="B519" s="473" t="s">
        <v>443</v>
      </c>
      <c r="C519" s="239" t="s">
        <v>158</v>
      </c>
      <c r="D519" s="212">
        <v>6.3</v>
      </c>
      <c r="E519" s="212" t="s">
        <v>511</v>
      </c>
      <c r="F519" s="222" t="s">
        <v>96</v>
      </c>
      <c r="G519" s="222">
        <v>10</v>
      </c>
      <c r="H519" s="370" t="s">
        <v>96</v>
      </c>
      <c r="I519" s="212" t="s">
        <v>96</v>
      </c>
      <c r="J519" s="212" t="s">
        <v>96</v>
      </c>
      <c r="K519" s="222" t="s">
        <v>96</v>
      </c>
      <c r="L519" s="371">
        <f>H530+H547</f>
        <v>2.7450120099745967</v>
      </c>
      <c r="M519" s="681">
        <f>L524</f>
        <v>29.168999999999993</v>
      </c>
      <c r="N519" s="682"/>
      <c r="O519" s="229"/>
      <c r="P519"/>
      <c r="Q519"/>
    </row>
    <row r="520" spans="1:20" ht="30" customHeight="1" x14ac:dyDescent="0.3">
      <c r="A520" s="228"/>
      <c r="B520" s="683"/>
      <c r="C520" s="628"/>
      <c r="D520" s="628"/>
      <c r="E520" s="628"/>
      <c r="F520" s="628"/>
      <c r="G520" s="628"/>
      <c r="H520" s="628"/>
      <c r="I520" s="628"/>
      <c r="J520" s="628"/>
      <c r="K520" s="628"/>
      <c r="L520" s="628"/>
      <c r="M520" s="628"/>
      <c r="N520" s="629"/>
      <c r="O520" s="346"/>
      <c r="P520"/>
      <c r="Q520"/>
      <c r="T520"/>
    </row>
    <row r="521" spans="1:20" ht="30" customHeight="1" x14ac:dyDescent="0.3">
      <c r="A521" s="228"/>
      <c r="B521" s="47"/>
      <c r="C521" s="673" t="s">
        <v>577</v>
      </c>
      <c r="D521" s="674"/>
      <c r="E521" s="675"/>
      <c r="F521" s="375"/>
      <c r="G521" s="673" t="s">
        <v>578</v>
      </c>
      <c r="H521" s="674"/>
      <c r="I521" s="675"/>
      <c r="J521" s="375"/>
      <c r="K521" s="673" t="s">
        <v>579</v>
      </c>
      <c r="L521" s="674"/>
      <c r="M521" s="675"/>
      <c r="N521" s="376"/>
      <c r="O521" s="346"/>
      <c r="P521"/>
      <c r="Q521"/>
      <c r="T521"/>
    </row>
    <row r="522" spans="1:20" ht="30" customHeight="1" x14ac:dyDescent="0.3">
      <c r="A522" s="228"/>
      <c r="B522" s="47"/>
      <c r="C522" s="377"/>
      <c r="D522" s="11"/>
      <c r="E522" s="378"/>
      <c r="F522" s="379"/>
      <c r="G522" s="380"/>
      <c r="H522" s="380"/>
      <c r="I522" s="380"/>
      <c r="J522" s="379"/>
      <c r="K522" s="378"/>
      <c r="L522" s="2"/>
      <c r="M522" s="378"/>
      <c r="N522" s="381"/>
      <c r="O522" s="346"/>
      <c r="P522"/>
      <c r="Q522"/>
      <c r="T522"/>
    </row>
    <row r="523" spans="1:20" ht="30" customHeight="1" x14ac:dyDescent="0.3">
      <c r="A523" s="228"/>
      <c r="B523" s="47"/>
      <c r="C523" s="382" t="s">
        <v>515</v>
      </c>
      <c r="D523" s="383">
        <f>D519</f>
        <v>6.3</v>
      </c>
      <c r="E523" s="2" t="s">
        <v>516</v>
      </c>
      <c r="F523" s="379"/>
      <c r="G523" s="382" t="s">
        <v>517</v>
      </c>
      <c r="H523" s="3">
        <v>32</v>
      </c>
      <c r="I523" s="2" t="s">
        <v>518</v>
      </c>
      <c r="J523" s="379"/>
      <c r="K523" s="21" t="s">
        <v>519</v>
      </c>
      <c r="L523" s="163">
        <f>D531/H533</f>
        <v>145844.99999999997</v>
      </c>
      <c r="M523" s="2" t="s">
        <v>520</v>
      </c>
      <c r="N523" s="381"/>
      <c r="O523" s="346"/>
      <c r="P523"/>
      <c r="Q523"/>
      <c r="T523"/>
    </row>
    <row r="524" spans="1:20" ht="30" customHeight="1" x14ac:dyDescent="0.3">
      <c r="A524" s="228"/>
      <c r="B524" s="47"/>
      <c r="C524" s="382" t="s">
        <v>521</v>
      </c>
      <c r="D524" s="11" t="s">
        <v>96</v>
      </c>
      <c r="E524" s="2" t="s">
        <v>522</v>
      </c>
      <c r="F524" s="379"/>
      <c r="G524" s="382" t="s">
        <v>523</v>
      </c>
      <c r="H524" s="11">
        <f>D526</f>
        <v>0.7</v>
      </c>
      <c r="I524" s="2" t="s">
        <v>524</v>
      </c>
      <c r="J524" s="379"/>
      <c r="K524" s="431" t="s">
        <v>604</v>
      </c>
      <c r="L524" s="385">
        <f>IF(L523/5/1000&lt;23.9,23.9,L523/5/1000)</f>
        <v>29.168999999999993</v>
      </c>
      <c r="M524" s="133" t="s">
        <v>525</v>
      </c>
      <c r="N524" s="381"/>
      <c r="O524" s="346"/>
      <c r="P524"/>
      <c r="Q524"/>
      <c r="T524"/>
    </row>
    <row r="525" spans="1:20" ht="30" customHeight="1" x14ac:dyDescent="0.3">
      <c r="A525" s="228"/>
      <c r="B525" s="47"/>
      <c r="C525" s="382" t="s">
        <v>526</v>
      </c>
      <c r="D525" s="11">
        <f>xx!J74</f>
        <v>4167</v>
      </c>
      <c r="E525" s="2" t="s">
        <v>527</v>
      </c>
      <c r="F525" s="379"/>
      <c r="G525" s="382" t="s">
        <v>528</v>
      </c>
      <c r="H525" s="11">
        <f>D528</f>
        <v>65</v>
      </c>
      <c r="I525" s="2" t="s">
        <v>518</v>
      </c>
      <c r="J525" s="379"/>
      <c r="K525" s="382" t="s">
        <v>601</v>
      </c>
      <c r="L525" s="11">
        <f>L523/5/1000</f>
        <v>29.168999999999993</v>
      </c>
      <c r="M525" s="387"/>
      <c r="N525" s="381"/>
      <c r="O525" s="346"/>
      <c r="P525"/>
      <c r="Q525"/>
      <c r="T525"/>
    </row>
    <row r="526" spans="1:20" ht="30" customHeight="1" x14ac:dyDescent="0.3">
      <c r="A526" s="228"/>
      <c r="B526" s="47"/>
      <c r="C526" s="382" t="s">
        <v>529</v>
      </c>
      <c r="D526" s="11">
        <v>0.7</v>
      </c>
      <c r="E526" s="2" t="s">
        <v>524</v>
      </c>
      <c r="F526" s="379"/>
      <c r="G526" s="382" t="s">
        <v>530</v>
      </c>
      <c r="H526" s="11">
        <f>D529</f>
        <v>40</v>
      </c>
      <c r="I526" s="2" t="s">
        <v>518</v>
      </c>
      <c r="J526" s="379"/>
      <c r="K526" s="455"/>
      <c r="L526" s="464"/>
      <c r="M526" s="464"/>
      <c r="N526" s="381"/>
      <c r="O526" s="346"/>
      <c r="P526"/>
      <c r="Q526"/>
      <c r="T526"/>
    </row>
    <row r="527" spans="1:20" ht="30" customHeight="1" x14ac:dyDescent="0.3">
      <c r="A527" s="228"/>
      <c r="B527" s="47"/>
      <c r="C527" s="382" t="s">
        <v>531</v>
      </c>
      <c r="D527" s="383" t="s">
        <v>96</v>
      </c>
      <c r="E527" s="2" t="s">
        <v>532</v>
      </c>
      <c r="F527" s="379"/>
      <c r="G527" s="382" t="s">
        <v>533</v>
      </c>
      <c r="H527" s="2">
        <f>D530</f>
        <v>16.600000000000001</v>
      </c>
      <c r="I527" s="2" t="s">
        <v>534</v>
      </c>
      <c r="J527" s="379"/>
      <c r="K527" s="464"/>
      <c r="L527" s="464"/>
      <c r="M527" s="464"/>
      <c r="N527" s="381"/>
      <c r="O527" s="346"/>
      <c r="P527"/>
      <c r="Q527"/>
      <c r="T527"/>
    </row>
    <row r="528" spans="1:20" ht="30" customHeight="1" x14ac:dyDescent="0.3">
      <c r="A528" s="228"/>
      <c r="B528" s="47"/>
      <c r="C528" s="382" t="s">
        <v>535</v>
      </c>
      <c r="D528" s="11">
        <v>65</v>
      </c>
      <c r="E528" s="2" t="s">
        <v>518</v>
      </c>
      <c r="F528" s="379"/>
      <c r="G528" s="382" t="s">
        <v>536</v>
      </c>
      <c r="H528" s="2">
        <v>200</v>
      </c>
      <c r="I528" s="21" t="s">
        <v>537</v>
      </c>
      <c r="J528" s="379"/>
      <c r="K528" s="379"/>
      <c r="L528" s="375"/>
      <c r="M528" s="379"/>
      <c r="N528" s="381"/>
      <c r="O528" s="346"/>
      <c r="P528"/>
      <c r="Q528"/>
      <c r="T528"/>
    </row>
    <row r="529" spans="1:20" ht="30" customHeight="1" x14ac:dyDescent="0.3">
      <c r="A529" s="228"/>
      <c r="B529" s="47"/>
      <c r="C529" s="382" t="s">
        <v>538</v>
      </c>
      <c r="D529" s="11">
        <v>40</v>
      </c>
      <c r="E529" s="2" t="s">
        <v>518</v>
      </c>
      <c r="F529" s="379"/>
      <c r="G529" s="2"/>
      <c r="H529" s="21"/>
      <c r="I529" s="21"/>
      <c r="J529" s="379"/>
      <c r="K529" s="379"/>
      <c r="L529" s="375"/>
      <c r="M529" s="379"/>
      <c r="N529" s="381"/>
      <c r="O529" s="346"/>
      <c r="P529"/>
      <c r="Q529"/>
      <c r="T529"/>
    </row>
    <row r="530" spans="1:20" ht="30" customHeight="1" x14ac:dyDescent="0.3">
      <c r="A530" s="228"/>
      <c r="B530" s="47"/>
      <c r="C530" s="382" t="s">
        <v>539</v>
      </c>
      <c r="D530" s="2">
        <v>16.600000000000001</v>
      </c>
      <c r="E530" s="378" t="s">
        <v>534</v>
      </c>
      <c r="F530" s="379"/>
      <c r="G530" s="389" t="s">
        <v>540</v>
      </c>
      <c r="H530" s="390">
        <f>((D525*D526)/(H527*H528))*(LN((H525-H523)/(H526-H523)))</f>
        <v>1.2450120099745967</v>
      </c>
      <c r="I530" s="389" t="s">
        <v>541</v>
      </c>
      <c r="J530" s="379"/>
      <c r="K530" s="388"/>
      <c r="L530" s="391"/>
      <c r="M530" s="388"/>
      <c r="N530" s="381"/>
      <c r="O530" s="346"/>
      <c r="P530"/>
      <c r="Q530"/>
      <c r="T530"/>
    </row>
    <row r="531" spans="1:20" ht="30" customHeight="1" x14ac:dyDescent="0.3">
      <c r="A531" s="228"/>
      <c r="B531" s="47"/>
      <c r="C531" s="392" t="s">
        <v>573</v>
      </c>
      <c r="D531" s="393">
        <f>D525*D526*(D528-D529)</f>
        <v>72922.499999999985</v>
      </c>
      <c r="E531" s="389" t="s">
        <v>543</v>
      </c>
      <c r="F531" s="379"/>
      <c r="G531" s="670" t="s">
        <v>544</v>
      </c>
      <c r="H531" s="671"/>
      <c r="I531" s="672"/>
      <c r="J531" s="379"/>
      <c r="K531" s="388"/>
      <c r="L531" s="397"/>
      <c r="M531" s="388"/>
      <c r="N531" s="381"/>
      <c r="O531" s="346"/>
      <c r="P531"/>
      <c r="Q531"/>
      <c r="T531"/>
    </row>
    <row r="532" spans="1:20" ht="30" customHeight="1" x14ac:dyDescent="0.3">
      <c r="A532" s="228"/>
      <c r="B532" s="47"/>
      <c r="C532"/>
      <c r="D532"/>
      <c r="E532"/>
      <c r="F532" s="420"/>
      <c r="G532" s="398" t="s">
        <v>545</v>
      </c>
      <c r="H532" s="399">
        <v>30</v>
      </c>
      <c r="I532" s="400" t="s">
        <v>546</v>
      </c>
      <c r="J532" s="420"/>
      <c r="K532" s="420"/>
      <c r="L532" s="420"/>
      <c r="M532" s="420"/>
      <c r="N532" s="376"/>
      <c r="O532" s="346"/>
      <c r="P532"/>
      <c r="Q532"/>
      <c r="T532"/>
    </row>
    <row r="533" spans="1:20" ht="30" customHeight="1" x14ac:dyDescent="0.3">
      <c r="A533" s="228"/>
      <c r="B533" s="47"/>
      <c r="C533"/>
      <c r="D533"/>
      <c r="E533"/>
      <c r="F533" s="420"/>
      <c r="G533" s="398" t="s">
        <v>545</v>
      </c>
      <c r="H533" s="404">
        <f>H532/60</f>
        <v>0.5</v>
      </c>
      <c r="I533" s="400" t="s">
        <v>541</v>
      </c>
      <c r="J533" s="420"/>
      <c r="K533" s="420"/>
      <c r="L533" s="420"/>
      <c r="M533" s="420"/>
      <c r="N533" s="376"/>
      <c r="O533" s="346"/>
      <c r="P533"/>
      <c r="Q533"/>
      <c r="T533"/>
    </row>
    <row r="534" spans="1:20" ht="28.5" customHeight="1" x14ac:dyDescent="0.3">
      <c r="A534" s="228"/>
      <c r="B534" s="47"/>
      <c r="N534" s="376"/>
      <c r="O534" s="229"/>
      <c r="P534"/>
      <c r="Q534"/>
      <c r="T534"/>
    </row>
    <row r="535" spans="1:20" ht="28.5" customHeight="1" x14ac:dyDescent="0.3">
      <c r="A535" s="228"/>
      <c r="B535" s="47"/>
      <c r="C535" s="673" t="s">
        <v>512</v>
      </c>
      <c r="D535" s="674"/>
      <c r="E535" s="675"/>
      <c r="F535" s="375"/>
      <c r="G535" s="673" t="s">
        <v>513</v>
      </c>
      <c r="H535" s="674"/>
      <c r="I535" s="675"/>
      <c r="J535" s="375"/>
      <c r="K535" s="673" t="s">
        <v>514</v>
      </c>
      <c r="L535" s="674"/>
      <c r="M535" s="675"/>
      <c r="N535" s="381"/>
      <c r="O535" s="229"/>
      <c r="P535"/>
      <c r="Q535"/>
      <c r="T535"/>
    </row>
    <row r="536" spans="1:20" ht="28.5" customHeight="1" x14ac:dyDescent="0.3">
      <c r="A536" s="228"/>
      <c r="B536" s="47"/>
      <c r="C536" s="377"/>
      <c r="D536" s="11"/>
      <c r="E536" s="378"/>
      <c r="F536" s="379"/>
      <c r="G536" s="380"/>
      <c r="H536" s="380"/>
      <c r="I536" s="380"/>
      <c r="J536" s="379"/>
      <c r="K536" s="378"/>
      <c r="L536" s="2"/>
      <c r="M536" s="378"/>
      <c r="N536" s="381"/>
      <c r="O536" s="229"/>
      <c r="P536"/>
      <c r="Q536"/>
      <c r="T536"/>
    </row>
    <row r="537" spans="1:20" ht="38.549999999999997" customHeight="1" x14ac:dyDescent="0.3">
      <c r="A537" s="228"/>
      <c r="B537" s="47"/>
      <c r="C537" s="382" t="s">
        <v>515</v>
      </c>
      <c r="D537" s="383">
        <f>D519</f>
        <v>6.3</v>
      </c>
      <c r="E537" s="2" t="s">
        <v>516</v>
      </c>
      <c r="F537" s="379"/>
      <c r="G537" s="382" t="s">
        <v>517</v>
      </c>
      <c r="H537" s="3">
        <v>7</v>
      </c>
      <c r="I537" s="2" t="s">
        <v>518</v>
      </c>
      <c r="J537" s="379"/>
      <c r="K537" s="21" t="s">
        <v>519</v>
      </c>
      <c r="L537" s="163">
        <f>D545/H547</f>
        <v>19445.999999999996</v>
      </c>
      <c r="M537" s="2" t="s">
        <v>520</v>
      </c>
      <c r="N537" s="381"/>
      <c r="O537" s="229"/>
      <c r="P537"/>
      <c r="Q537"/>
      <c r="T537"/>
    </row>
    <row r="538" spans="1:20" ht="28.5" customHeight="1" x14ac:dyDescent="0.3">
      <c r="A538" s="228"/>
      <c r="B538" s="47"/>
      <c r="C538" s="382" t="s">
        <v>521</v>
      </c>
      <c r="D538" s="11" t="s">
        <v>96</v>
      </c>
      <c r="E538" s="2" t="s">
        <v>522</v>
      </c>
      <c r="F538" s="379"/>
      <c r="G538" s="382" t="s">
        <v>523</v>
      </c>
      <c r="H538" s="11">
        <f>D540</f>
        <v>0.7</v>
      </c>
      <c r="I538" s="2" t="s">
        <v>524</v>
      </c>
      <c r="J538" s="379"/>
      <c r="K538" s="431" t="s">
        <v>604</v>
      </c>
      <c r="L538" s="385">
        <f>IF(L537/5/1000&lt;23.9,23.9,L537/5/1000)</f>
        <v>23.9</v>
      </c>
      <c r="M538" s="349" t="s">
        <v>525</v>
      </c>
      <c r="N538" s="381"/>
      <c r="O538" s="229"/>
      <c r="P538"/>
      <c r="Q538"/>
      <c r="T538"/>
    </row>
    <row r="539" spans="1:20" ht="28.5" customHeight="1" x14ac:dyDescent="0.3">
      <c r="A539" s="228"/>
      <c r="B539" s="47"/>
      <c r="C539" s="382" t="s">
        <v>526</v>
      </c>
      <c r="D539" s="11">
        <f>D525</f>
        <v>4167</v>
      </c>
      <c r="E539" s="2" t="s">
        <v>527</v>
      </c>
      <c r="F539" s="379"/>
      <c r="G539" s="382" t="s">
        <v>528</v>
      </c>
      <c r="H539" s="11">
        <f>D542</f>
        <v>25</v>
      </c>
      <c r="I539" s="2" t="s">
        <v>518</v>
      </c>
      <c r="J539" s="379"/>
      <c r="K539" s="382" t="s">
        <v>601</v>
      </c>
      <c r="L539" s="11">
        <f>L537/5/1000</f>
        <v>3.8891999999999993</v>
      </c>
      <c r="M539" s="388"/>
      <c r="N539" s="381"/>
      <c r="O539" s="229"/>
      <c r="P539"/>
      <c r="Q539"/>
      <c r="T539"/>
    </row>
    <row r="540" spans="1:20" ht="28.5" customHeight="1" x14ac:dyDescent="0.3">
      <c r="A540" s="228"/>
      <c r="B540" s="47"/>
      <c r="C540" s="382" t="s">
        <v>529</v>
      </c>
      <c r="D540" s="11">
        <v>0.7</v>
      </c>
      <c r="E540" s="2" t="s">
        <v>524</v>
      </c>
      <c r="F540" s="379"/>
      <c r="G540" s="382" t="s">
        <v>530</v>
      </c>
      <c r="H540" s="11">
        <f>D543</f>
        <v>15</v>
      </c>
      <c r="I540" s="2" t="s">
        <v>518</v>
      </c>
      <c r="J540" s="379"/>
      <c r="K540" s="455"/>
      <c r="L540" s="455"/>
      <c r="M540" s="455"/>
      <c r="N540" s="381"/>
      <c r="O540" s="229"/>
      <c r="P540"/>
      <c r="Q540"/>
      <c r="T540"/>
    </row>
    <row r="541" spans="1:20" ht="28.5" customHeight="1" x14ac:dyDescent="0.3">
      <c r="A541" s="228"/>
      <c r="B541" s="47"/>
      <c r="C541" s="382" t="s">
        <v>531</v>
      </c>
      <c r="D541" s="383" t="s">
        <v>96</v>
      </c>
      <c r="E541" s="2" t="s">
        <v>532</v>
      </c>
      <c r="F541" s="379"/>
      <c r="G541" s="382" t="s">
        <v>533</v>
      </c>
      <c r="H541" s="2">
        <f>D544</f>
        <v>16.600000000000001</v>
      </c>
      <c r="I541" s="2" t="s">
        <v>534</v>
      </c>
      <c r="J541" s="379"/>
      <c r="K541" s="455"/>
      <c r="L541" s="455"/>
      <c r="M541" s="455"/>
      <c r="N541" s="381"/>
      <c r="O541" s="229"/>
      <c r="P541"/>
      <c r="Q541"/>
      <c r="T541"/>
    </row>
    <row r="542" spans="1:20" ht="28.5" customHeight="1" x14ac:dyDescent="0.3">
      <c r="A542" s="228"/>
      <c r="B542" s="47"/>
      <c r="C542" s="382" t="s">
        <v>535</v>
      </c>
      <c r="D542" s="11">
        <v>25</v>
      </c>
      <c r="E542" s="2" t="s">
        <v>518</v>
      </c>
      <c r="F542" s="379"/>
      <c r="G542" s="382" t="s">
        <v>536</v>
      </c>
      <c r="H542" s="2">
        <v>250</v>
      </c>
      <c r="I542" s="21" t="s">
        <v>537</v>
      </c>
      <c r="J542" s="379"/>
      <c r="K542" s="379"/>
      <c r="L542" s="375"/>
      <c r="M542" s="379"/>
      <c r="N542" s="381"/>
      <c r="O542" s="229"/>
      <c r="P542"/>
      <c r="Q542"/>
      <c r="T542"/>
    </row>
    <row r="543" spans="1:20" ht="28.5" customHeight="1" x14ac:dyDescent="0.3">
      <c r="A543" s="228"/>
      <c r="B543" s="47"/>
      <c r="C543" s="382" t="s">
        <v>538</v>
      </c>
      <c r="D543" s="11">
        <v>15</v>
      </c>
      <c r="E543" s="2" t="s">
        <v>518</v>
      </c>
      <c r="F543" s="379"/>
      <c r="G543" s="2"/>
      <c r="H543" s="21"/>
      <c r="I543" s="21"/>
      <c r="J543" s="379"/>
      <c r="K543" s="379"/>
      <c r="L543" s="375"/>
      <c r="M543" s="379"/>
      <c r="N543" s="381"/>
      <c r="O543" s="229"/>
      <c r="P543"/>
      <c r="Q543"/>
      <c r="T543"/>
    </row>
    <row r="544" spans="1:20" ht="28.5" customHeight="1" x14ac:dyDescent="0.3">
      <c r="A544" s="228"/>
      <c r="B544" s="47"/>
      <c r="C544" s="382" t="s">
        <v>539</v>
      </c>
      <c r="D544" s="2">
        <v>16.600000000000001</v>
      </c>
      <c r="E544" s="378" t="s">
        <v>534</v>
      </c>
      <c r="F544" s="379"/>
      <c r="G544" s="389" t="s">
        <v>540</v>
      </c>
      <c r="H544" s="390">
        <f>((D539*D540)/(H541*H542))*(LN((H539-H537)/(H540-H537)))</f>
        <v>0.56997646932082147</v>
      </c>
      <c r="I544" s="389" t="s">
        <v>541</v>
      </c>
      <c r="J544" s="379"/>
      <c r="K544" s="388"/>
      <c r="L544" s="391"/>
      <c r="M544" s="388"/>
      <c r="N544" s="381"/>
      <c r="O544" s="229"/>
      <c r="P544"/>
      <c r="Q544"/>
      <c r="T544"/>
    </row>
    <row r="545" spans="1:20" ht="28.5" customHeight="1" x14ac:dyDescent="0.3">
      <c r="A545" s="228"/>
      <c r="B545" s="47"/>
      <c r="C545" s="392" t="s">
        <v>542</v>
      </c>
      <c r="D545" s="393">
        <f>D539*D540*(D542-D543)</f>
        <v>29168.999999999996</v>
      </c>
      <c r="E545" s="389" t="s">
        <v>543</v>
      </c>
      <c r="F545" s="379"/>
      <c r="G545" s="394" t="s">
        <v>544</v>
      </c>
      <c r="H545" s="395"/>
      <c r="I545" s="396"/>
      <c r="J545" s="379"/>
      <c r="K545" s="388"/>
      <c r="L545" s="397"/>
      <c r="M545" s="388"/>
      <c r="N545" s="381"/>
      <c r="O545" s="229"/>
      <c r="P545"/>
      <c r="Q545"/>
      <c r="T545"/>
    </row>
    <row r="546" spans="1:20" ht="28.5" customHeight="1" x14ac:dyDescent="0.3">
      <c r="A546" s="228"/>
      <c r="B546" s="47"/>
      <c r="C546" s="379"/>
      <c r="D546" s="375"/>
      <c r="E546" s="379"/>
      <c r="F546" s="379"/>
      <c r="G546" s="398" t="s">
        <v>545</v>
      </c>
      <c r="H546" s="399">
        <v>90</v>
      </c>
      <c r="I546" s="400" t="s">
        <v>546</v>
      </c>
      <c r="J546" s="379"/>
      <c r="K546" s="388"/>
      <c r="L546" s="401"/>
      <c r="M546" s="401"/>
      <c r="N546" s="381"/>
      <c r="O546" s="229"/>
      <c r="P546"/>
      <c r="Q546"/>
      <c r="T546"/>
    </row>
    <row r="547" spans="1:20" ht="30" customHeight="1" thickBot="1" x14ac:dyDescent="0.35">
      <c r="A547" s="228"/>
      <c r="B547" s="47"/>
      <c r="C547" s="379"/>
      <c r="D547" s="375"/>
      <c r="E547" s="379"/>
      <c r="F547" s="379"/>
      <c r="G547" s="398" t="s">
        <v>545</v>
      </c>
      <c r="H547" s="404">
        <f>H546/60</f>
        <v>1.5</v>
      </c>
      <c r="I547" s="400" t="s">
        <v>541</v>
      </c>
      <c r="J547" s="379"/>
      <c r="K547" s="388"/>
      <c r="L547" s="401"/>
      <c r="M547" s="401"/>
      <c r="N547" s="376"/>
      <c r="O547" s="346"/>
      <c r="P547"/>
      <c r="Q547"/>
      <c r="T547"/>
    </row>
    <row r="548" spans="1:20" ht="28.5" customHeight="1" x14ac:dyDescent="0.3">
      <c r="A548" s="228"/>
      <c r="B548" s="683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9"/>
      <c r="O548" s="229"/>
      <c r="P548"/>
      <c r="Q548"/>
      <c r="T548"/>
    </row>
    <row r="549" spans="1:20" ht="28.5" customHeight="1" x14ac:dyDescent="0.3">
      <c r="A549" s="228"/>
      <c r="B549" s="47"/>
      <c r="C549" s="673" t="s">
        <v>549</v>
      </c>
      <c r="D549" s="674"/>
      <c r="E549" s="675"/>
      <c r="F549" s="375"/>
      <c r="G549" s="673" t="s">
        <v>550</v>
      </c>
      <c r="H549" s="674"/>
      <c r="I549" s="675"/>
      <c r="J549" s="375"/>
      <c r="K549" s="673" t="s">
        <v>551</v>
      </c>
      <c r="L549" s="674"/>
      <c r="M549" s="675"/>
      <c r="N549" s="376"/>
      <c r="O549" s="229"/>
      <c r="P549"/>
      <c r="Q549"/>
      <c r="T549"/>
    </row>
    <row r="550" spans="1:20" ht="28.5" customHeight="1" x14ac:dyDescent="0.3">
      <c r="A550" s="228"/>
      <c r="B550" s="47"/>
      <c r="C550" s="377"/>
      <c r="D550" s="11"/>
      <c r="E550" s="378"/>
      <c r="F550" s="379"/>
      <c r="G550" s="380"/>
      <c r="H550" s="380"/>
      <c r="I550" s="380"/>
      <c r="J550" s="379"/>
      <c r="K550" s="378"/>
      <c r="L550" s="2"/>
      <c r="M550" s="378"/>
      <c r="N550" s="381"/>
      <c r="O550" s="229"/>
      <c r="P550"/>
      <c r="Q550"/>
      <c r="T550"/>
    </row>
    <row r="551" spans="1:20" ht="28.5" customHeight="1" x14ac:dyDescent="0.3">
      <c r="A551" s="228"/>
      <c r="B551" s="47"/>
      <c r="C551" s="382" t="s">
        <v>515</v>
      </c>
      <c r="D551" s="383">
        <f>D547</f>
        <v>0</v>
      </c>
      <c r="E551" s="2" t="s">
        <v>516</v>
      </c>
      <c r="F551" s="379"/>
      <c r="G551" s="382" t="s">
        <v>517</v>
      </c>
      <c r="H551" s="408">
        <v>-15</v>
      </c>
      <c r="I551" s="2" t="s">
        <v>518</v>
      </c>
      <c r="J551" s="379"/>
      <c r="K551" s="21" t="s">
        <v>519</v>
      </c>
      <c r="L551" s="2">
        <f>D559/H561</f>
        <v>14584.499999999998</v>
      </c>
      <c r="M551" s="2" t="s">
        <v>520</v>
      </c>
      <c r="N551" s="381"/>
      <c r="O551" s="229"/>
      <c r="P551"/>
      <c r="Q551"/>
      <c r="T551"/>
    </row>
    <row r="552" spans="1:20" ht="38.549999999999997" customHeight="1" x14ac:dyDescent="0.3">
      <c r="A552" s="228"/>
      <c r="B552" s="47"/>
      <c r="C552" s="382" t="s">
        <v>521</v>
      </c>
      <c r="D552" s="11" t="s">
        <v>96</v>
      </c>
      <c r="E552" s="2" t="s">
        <v>522</v>
      </c>
      <c r="F552" s="379"/>
      <c r="G552" s="382" t="s">
        <v>523</v>
      </c>
      <c r="H552" s="11">
        <f>D554</f>
        <v>0.7</v>
      </c>
      <c r="I552" s="2" t="s">
        <v>524</v>
      </c>
      <c r="J552" s="379"/>
      <c r="K552" s="431" t="s">
        <v>604</v>
      </c>
      <c r="L552" s="385">
        <f>IF(L551/5/1000&lt;23.9,23.9,L551/5/1000)</f>
        <v>23.9</v>
      </c>
      <c r="M552" s="133" t="s">
        <v>525</v>
      </c>
      <c r="N552" s="381"/>
      <c r="O552" s="229"/>
      <c r="P552"/>
      <c r="Q552"/>
      <c r="T552"/>
    </row>
    <row r="553" spans="1:20" ht="28.5" customHeight="1" x14ac:dyDescent="0.3">
      <c r="A553" s="228"/>
      <c r="B553" s="47"/>
      <c r="C553" s="382" t="s">
        <v>526</v>
      </c>
      <c r="D553" s="383">
        <f>D539</f>
        <v>4167</v>
      </c>
      <c r="E553" s="2" t="s">
        <v>527</v>
      </c>
      <c r="F553" s="379"/>
      <c r="G553" s="382" t="s">
        <v>528</v>
      </c>
      <c r="H553" s="11">
        <f>D556</f>
        <v>15</v>
      </c>
      <c r="I553" s="2" t="s">
        <v>518</v>
      </c>
      <c r="J553" s="379"/>
      <c r="K553" s="382" t="s">
        <v>601</v>
      </c>
      <c r="L553" s="11">
        <f>L551/5/1000</f>
        <v>2.9168999999999996</v>
      </c>
      <c r="M553" s="387"/>
      <c r="N553" s="381"/>
      <c r="O553" s="229"/>
      <c r="P553"/>
      <c r="Q553"/>
      <c r="T553"/>
    </row>
    <row r="554" spans="1:20" ht="28.5" customHeight="1" x14ac:dyDescent="0.3">
      <c r="A554" s="228"/>
      <c r="B554" s="47"/>
      <c r="C554" s="382" t="s">
        <v>529</v>
      </c>
      <c r="D554" s="11">
        <v>0.7</v>
      </c>
      <c r="E554" s="2" t="s">
        <v>524</v>
      </c>
      <c r="F554" s="379"/>
      <c r="G554" s="382" t="s">
        <v>530</v>
      </c>
      <c r="H554" s="11">
        <f>D557</f>
        <v>10</v>
      </c>
      <c r="I554" s="2" t="s">
        <v>518</v>
      </c>
      <c r="J554" s="379"/>
      <c r="K554" s="455"/>
      <c r="L554" s="455"/>
      <c r="M554" s="455"/>
      <c r="N554" s="381"/>
      <c r="O554" s="229"/>
      <c r="P554"/>
      <c r="Q554"/>
      <c r="T554"/>
    </row>
    <row r="555" spans="1:20" ht="28.5" customHeight="1" x14ac:dyDescent="0.3">
      <c r="A555" s="228"/>
      <c r="B555" s="47"/>
      <c r="C555" s="382" t="s">
        <v>531</v>
      </c>
      <c r="D555" s="383" t="s">
        <v>96</v>
      </c>
      <c r="E555" s="2" t="s">
        <v>532</v>
      </c>
      <c r="F555" s="379"/>
      <c r="G555" s="382" t="s">
        <v>533</v>
      </c>
      <c r="H555" s="2">
        <f>D558</f>
        <v>16.600000000000001</v>
      </c>
      <c r="I555" s="2" t="s">
        <v>534</v>
      </c>
      <c r="J555" s="379"/>
      <c r="K555" s="455"/>
      <c r="L555" s="455"/>
      <c r="M555" s="455"/>
      <c r="N555" s="381"/>
      <c r="O555" s="229"/>
      <c r="P555"/>
      <c r="Q555"/>
      <c r="T555"/>
    </row>
    <row r="556" spans="1:20" ht="28.5" customHeight="1" x14ac:dyDescent="0.3">
      <c r="A556" s="228"/>
      <c r="B556" s="47"/>
      <c r="C556" s="382" t="s">
        <v>535</v>
      </c>
      <c r="D556" s="11">
        <v>15</v>
      </c>
      <c r="E556" s="2" t="s">
        <v>518</v>
      </c>
      <c r="F556" s="379"/>
      <c r="G556" s="382" t="s">
        <v>536</v>
      </c>
      <c r="H556" s="2">
        <v>150</v>
      </c>
      <c r="I556" s="21" t="s">
        <v>537</v>
      </c>
      <c r="J556" s="379"/>
      <c r="K556" s="379"/>
      <c r="L556" s="375"/>
      <c r="M556" s="379"/>
      <c r="N556" s="381"/>
      <c r="O556" s="229"/>
      <c r="P556"/>
      <c r="Q556"/>
      <c r="T556"/>
    </row>
    <row r="557" spans="1:20" ht="28.5" customHeight="1" x14ac:dyDescent="0.3">
      <c r="A557" s="228"/>
      <c r="B557" s="47"/>
      <c r="C557" s="382" t="s">
        <v>538</v>
      </c>
      <c r="D557" s="408">
        <v>10</v>
      </c>
      <c r="E557" s="2" t="s">
        <v>518</v>
      </c>
      <c r="F557" s="379"/>
      <c r="G557" s="2"/>
      <c r="H557" s="21"/>
      <c r="I557" s="21"/>
      <c r="J557" s="379"/>
      <c r="K557" s="379"/>
      <c r="L557" s="375"/>
      <c r="M557" s="379"/>
      <c r="N557" s="381"/>
      <c r="O557" s="229"/>
      <c r="P557"/>
      <c r="Q557"/>
      <c r="T557"/>
    </row>
    <row r="558" spans="1:20" ht="28.5" customHeight="1" x14ac:dyDescent="0.3">
      <c r="A558" s="228"/>
      <c r="B558" s="47"/>
      <c r="C558" s="382" t="s">
        <v>539</v>
      </c>
      <c r="D558" s="2">
        <v>16.600000000000001</v>
      </c>
      <c r="E558" s="2" t="s">
        <v>534</v>
      </c>
      <c r="F558" s="379"/>
      <c r="G558" s="389" t="s">
        <v>540</v>
      </c>
      <c r="H558" s="390">
        <f>((D553*D554)/(H555*H556))*(LN((H553)-(H551))/((H554)-(H551)))</f>
        <v>0.15937273321398138</v>
      </c>
      <c r="I558" s="389" t="s">
        <v>541</v>
      </c>
      <c r="J558" s="379"/>
      <c r="K558" s="388"/>
      <c r="L558" s="391"/>
      <c r="M558" s="388"/>
      <c r="N558" s="381"/>
      <c r="O558" s="229"/>
      <c r="P558"/>
      <c r="Q558"/>
      <c r="T558"/>
    </row>
    <row r="559" spans="1:20" ht="28.5" customHeight="1" x14ac:dyDescent="0.3">
      <c r="A559" s="228"/>
      <c r="B559" s="47"/>
      <c r="C559" s="392" t="s">
        <v>542</v>
      </c>
      <c r="D559" s="393">
        <f>D553*D554*(D556-D557)</f>
        <v>14584.499999999998</v>
      </c>
      <c r="E559" s="389" t="s">
        <v>543</v>
      </c>
      <c r="F559" s="379"/>
      <c r="G559" s="670" t="s">
        <v>544</v>
      </c>
      <c r="H559" s="671"/>
      <c r="I559" s="672"/>
      <c r="J559" s="379"/>
      <c r="K559" s="388"/>
      <c r="L559" s="397"/>
      <c r="M559" s="388"/>
      <c r="N559" s="381"/>
      <c r="O559" s="229"/>
      <c r="P559"/>
      <c r="Q559"/>
      <c r="T559"/>
    </row>
    <row r="560" spans="1:20" ht="28.5" customHeight="1" x14ac:dyDescent="0.3">
      <c r="A560" s="228"/>
      <c r="B560" s="47"/>
      <c r="C560" s="409"/>
      <c r="D560" s="410"/>
      <c r="E560" s="411"/>
      <c r="F560" s="379"/>
      <c r="G560" s="398" t="s">
        <v>545</v>
      </c>
      <c r="H560" s="485">
        <v>60</v>
      </c>
      <c r="I560" s="400" t="s">
        <v>546</v>
      </c>
      <c r="J560" s="379"/>
      <c r="K560" s="388"/>
      <c r="L560" s="397"/>
      <c r="M560" s="388"/>
      <c r="N560" s="381"/>
      <c r="O560" s="229"/>
      <c r="P560"/>
      <c r="Q560"/>
      <c r="T560"/>
    </row>
    <row r="561" spans="1:20" ht="28.5" customHeight="1" x14ac:dyDescent="0.3">
      <c r="A561" s="228"/>
      <c r="B561" s="47"/>
      <c r="C561" s="409"/>
      <c r="D561" s="410"/>
      <c r="E561" s="411"/>
      <c r="F561" s="379"/>
      <c r="G561" s="398" t="s">
        <v>545</v>
      </c>
      <c r="H561" s="486">
        <f>H560/60</f>
        <v>1</v>
      </c>
      <c r="I561" s="400" t="s">
        <v>541</v>
      </c>
      <c r="J561" s="379"/>
      <c r="K561" s="388"/>
      <c r="L561" s="397"/>
      <c r="M561" s="388"/>
      <c r="N561" s="381"/>
      <c r="O561" s="229"/>
      <c r="P561"/>
      <c r="Q561"/>
      <c r="T561"/>
    </row>
    <row r="562" spans="1:20" ht="28.5" customHeight="1" thickBot="1" x14ac:dyDescent="0.35">
      <c r="A562" s="228"/>
      <c r="B562" s="402"/>
      <c r="C562" s="403"/>
      <c r="D562" s="403"/>
      <c r="E562" s="403"/>
      <c r="F562" s="403"/>
      <c r="G562" s="403"/>
      <c r="H562" s="403"/>
      <c r="I562" s="403"/>
      <c r="J562" s="403"/>
      <c r="K562" s="403"/>
      <c r="L562" s="405"/>
      <c r="M562" s="403"/>
      <c r="N562" s="406"/>
      <c r="O562" s="229"/>
      <c r="P562"/>
      <c r="Q562"/>
      <c r="T562"/>
    </row>
    <row r="563" spans="1:20" ht="56.55" customHeight="1" thickBot="1" x14ac:dyDescent="0.35">
      <c r="A563" s="228"/>
      <c r="B563" s="412" t="s">
        <v>498</v>
      </c>
      <c r="C563" s="66" t="s">
        <v>499</v>
      </c>
      <c r="D563" s="66" t="s">
        <v>500</v>
      </c>
      <c r="E563" s="66" t="s">
        <v>501</v>
      </c>
      <c r="F563" s="66" t="s">
        <v>502</v>
      </c>
      <c r="G563" s="66" t="s">
        <v>503</v>
      </c>
      <c r="H563" s="66" t="s">
        <v>504</v>
      </c>
      <c r="I563" s="66" t="s">
        <v>505</v>
      </c>
      <c r="J563" s="66" t="s">
        <v>506</v>
      </c>
      <c r="K563" s="66" t="s">
        <v>507</v>
      </c>
      <c r="L563" s="66" t="s">
        <v>508</v>
      </c>
      <c r="M563" s="708" t="s">
        <v>581</v>
      </c>
      <c r="N563" s="709"/>
      <c r="O563" s="229"/>
      <c r="P563"/>
      <c r="Q563"/>
      <c r="T563"/>
    </row>
    <row r="564" spans="1:20" ht="32.549999999999997" customHeight="1" thickBot="1" x14ac:dyDescent="0.35">
      <c r="A564" s="228"/>
      <c r="B564" s="474" t="s">
        <v>591</v>
      </c>
      <c r="C564" s="465" t="s">
        <v>158</v>
      </c>
      <c r="D564" s="414">
        <v>6.3</v>
      </c>
      <c r="E564" s="414" t="s">
        <v>511</v>
      </c>
      <c r="F564" s="415" t="s">
        <v>96</v>
      </c>
      <c r="G564" s="415">
        <v>-10</v>
      </c>
      <c r="H564" s="466" t="s">
        <v>96</v>
      </c>
      <c r="I564" s="414" t="s">
        <v>96</v>
      </c>
      <c r="J564" s="414" t="s">
        <v>96</v>
      </c>
      <c r="K564" s="415" t="s">
        <v>96</v>
      </c>
      <c r="L564" s="418">
        <f>H578</f>
        <v>2</v>
      </c>
      <c r="M564" s="684">
        <f>L569</f>
        <v>23.9</v>
      </c>
      <c r="N564" s="685"/>
      <c r="O564" s="229"/>
      <c r="P564"/>
      <c r="Q564"/>
      <c r="T564"/>
    </row>
    <row r="565" spans="1:20" ht="28.5" customHeight="1" x14ac:dyDescent="0.3">
      <c r="A565" s="228"/>
      <c r="B565" s="683"/>
      <c r="C565" s="628"/>
      <c r="D565" s="628"/>
      <c r="E565" s="628"/>
      <c r="F565" s="628"/>
      <c r="G565" s="628"/>
      <c r="H565" s="628"/>
      <c r="I565" s="628"/>
      <c r="J565" s="628"/>
      <c r="K565" s="628"/>
      <c r="L565" s="628"/>
      <c r="M565" s="628"/>
      <c r="N565" s="629"/>
      <c r="O565" s="229"/>
      <c r="P565"/>
      <c r="Q565"/>
      <c r="T565"/>
    </row>
    <row r="566" spans="1:20" ht="28.5" customHeight="1" x14ac:dyDescent="0.3">
      <c r="A566" s="228"/>
      <c r="B566" s="47"/>
      <c r="C566" s="673" t="s">
        <v>549</v>
      </c>
      <c r="D566" s="674"/>
      <c r="E566" s="675"/>
      <c r="F566" s="375"/>
      <c r="G566" s="673" t="s">
        <v>550</v>
      </c>
      <c r="H566" s="674"/>
      <c r="I566" s="675"/>
      <c r="J566" s="375"/>
      <c r="K566" s="673" t="s">
        <v>551</v>
      </c>
      <c r="L566" s="674"/>
      <c r="M566" s="675"/>
      <c r="N566" s="376"/>
      <c r="O566" s="229"/>
      <c r="P566"/>
      <c r="Q566"/>
      <c r="T566"/>
    </row>
    <row r="567" spans="1:20" ht="28.5" customHeight="1" x14ac:dyDescent="0.3">
      <c r="A567" s="228"/>
      <c r="B567" s="47"/>
      <c r="C567" s="377"/>
      <c r="D567" s="11"/>
      <c r="E567" s="378"/>
      <c r="F567" s="379"/>
      <c r="G567" s="380"/>
      <c r="H567" s="380"/>
      <c r="I567" s="380"/>
      <c r="J567" s="379"/>
      <c r="K567" s="378"/>
      <c r="L567" s="2"/>
      <c r="M567" s="378"/>
      <c r="N567" s="381"/>
      <c r="O567" s="229"/>
      <c r="P567"/>
      <c r="Q567"/>
      <c r="T567"/>
    </row>
    <row r="568" spans="1:20" ht="28.5" customHeight="1" x14ac:dyDescent="0.3">
      <c r="A568" s="228"/>
      <c r="B568" s="47"/>
      <c r="C568" s="382" t="s">
        <v>515</v>
      </c>
      <c r="D568" s="383">
        <f>D564</f>
        <v>6.3</v>
      </c>
      <c r="E568" s="2" t="s">
        <v>516</v>
      </c>
      <c r="F568" s="379"/>
      <c r="G568" s="382" t="s">
        <v>517</v>
      </c>
      <c r="H568" s="408">
        <v>-15</v>
      </c>
      <c r="I568" s="2" t="s">
        <v>518</v>
      </c>
      <c r="J568" s="379"/>
      <c r="K568" s="21" t="s">
        <v>519</v>
      </c>
      <c r="L568" s="163">
        <f>D576/H578</f>
        <v>29203.999999999996</v>
      </c>
      <c r="M568" s="2" t="s">
        <v>520</v>
      </c>
      <c r="N568" s="381"/>
      <c r="O568" s="229"/>
      <c r="P568"/>
      <c r="Q568"/>
      <c r="T568"/>
    </row>
    <row r="569" spans="1:20" ht="38.549999999999997" customHeight="1" x14ac:dyDescent="0.3">
      <c r="A569" s="228"/>
      <c r="B569" s="47"/>
      <c r="C569" s="382" t="s">
        <v>521</v>
      </c>
      <c r="D569" s="11" t="s">
        <v>96</v>
      </c>
      <c r="E569" s="2" t="s">
        <v>522</v>
      </c>
      <c r="F569" s="379"/>
      <c r="G569" s="382" t="s">
        <v>523</v>
      </c>
      <c r="H569" s="11">
        <f>D571</f>
        <v>0.7</v>
      </c>
      <c r="I569" s="2" t="s">
        <v>524</v>
      </c>
      <c r="J569" s="379"/>
      <c r="K569" s="431" t="s">
        <v>604</v>
      </c>
      <c r="L569" s="385">
        <f>IF(L568/5/1000&lt;23.9,23.9,L568/5/1000)</f>
        <v>23.9</v>
      </c>
      <c r="M569" s="133" t="s">
        <v>525</v>
      </c>
      <c r="N569" s="381"/>
      <c r="O569" s="229"/>
      <c r="P569"/>
      <c r="Q569"/>
      <c r="T569"/>
    </row>
    <row r="570" spans="1:20" ht="28.5" customHeight="1" x14ac:dyDescent="0.3">
      <c r="A570" s="228"/>
      <c r="B570" s="47"/>
      <c r="C570" s="382" t="s">
        <v>526</v>
      </c>
      <c r="D570" s="383">
        <f>xx!J76</f>
        <v>4172</v>
      </c>
      <c r="E570" s="2" t="s">
        <v>527</v>
      </c>
      <c r="F570" s="379"/>
      <c r="G570" s="382" t="s">
        <v>528</v>
      </c>
      <c r="H570" s="11">
        <f>D573</f>
        <v>10</v>
      </c>
      <c r="I570" s="2" t="s">
        <v>518</v>
      </c>
      <c r="J570" s="379"/>
      <c r="K570" s="382" t="s">
        <v>601</v>
      </c>
      <c r="L570" s="11">
        <f>L568/5/1000</f>
        <v>5.8407999999999989</v>
      </c>
      <c r="M570" s="387"/>
      <c r="N570" s="381"/>
      <c r="O570" s="229"/>
      <c r="P570"/>
      <c r="Q570"/>
      <c r="T570"/>
    </row>
    <row r="571" spans="1:20" ht="28.5" customHeight="1" x14ac:dyDescent="0.3">
      <c r="A571" s="228"/>
      <c r="B571" s="47"/>
      <c r="C571" s="382" t="s">
        <v>529</v>
      </c>
      <c r="D571" s="11">
        <v>0.7</v>
      </c>
      <c r="E571" s="2" t="s">
        <v>524</v>
      </c>
      <c r="F571" s="379"/>
      <c r="G571" s="382" t="s">
        <v>530</v>
      </c>
      <c r="H571" s="11">
        <f>D574</f>
        <v>-10</v>
      </c>
      <c r="I571" s="2" t="s">
        <v>518</v>
      </c>
      <c r="J571" s="379"/>
      <c r="K571" s="455"/>
      <c r="L571" s="455"/>
      <c r="M571" s="455"/>
      <c r="N571" s="381"/>
      <c r="O571" s="229"/>
      <c r="P571"/>
      <c r="Q571"/>
      <c r="T571"/>
    </row>
    <row r="572" spans="1:20" ht="28.5" customHeight="1" x14ac:dyDescent="0.3">
      <c r="A572" s="228"/>
      <c r="B572" s="47"/>
      <c r="C572" s="382" t="s">
        <v>531</v>
      </c>
      <c r="D572" s="383" t="s">
        <v>96</v>
      </c>
      <c r="E572" s="2" t="s">
        <v>532</v>
      </c>
      <c r="F572" s="379"/>
      <c r="G572" s="382" t="s">
        <v>533</v>
      </c>
      <c r="H572" s="2">
        <f>D575</f>
        <v>16.600000000000001</v>
      </c>
      <c r="I572" s="2" t="s">
        <v>534</v>
      </c>
      <c r="J572" s="379"/>
      <c r="K572" s="455"/>
      <c r="L572" s="455"/>
      <c r="M572" s="455"/>
      <c r="N572" s="381"/>
      <c r="O572" s="229"/>
      <c r="P572"/>
      <c r="Q572"/>
      <c r="T572"/>
    </row>
    <row r="573" spans="1:20" ht="28.5" customHeight="1" x14ac:dyDescent="0.3">
      <c r="A573" s="228"/>
      <c r="B573" s="47"/>
      <c r="C573" s="382" t="s">
        <v>535</v>
      </c>
      <c r="D573" s="11">
        <v>10</v>
      </c>
      <c r="E573" s="2" t="s">
        <v>518</v>
      </c>
      <c r="F573" s="379"/>
      <c r="G573" s="382" t="s">
        <v>536</v>
      </c>
      <c r="H573" s="2">
        <v>150</v>
      </c>
      <c r="I573" s="21" t="s">
        <v>537</v>
      </c>
      <c r="J573" s="379"/>
      <c r="K573" s="379"/>
      <c r="L573" s="375"/>
      <c r="M573" s="379"/>
      <c r="N573" s="381"/>
      <c r="O573" s="229"/>
      <c r="P573"/>
      <c r="Q573"/>
      <c r="T573"/>
    </row>
    <row r="574" spans="1:20" ht="28.5" customHeight="1" x14ac:dyDescent="0.3">
      <c r="A574" s="228"/>
      <c r="B574" s="47"/>
      <c r="C574" s="382" t="s">
        <v>538</v>
      </c>
      <c r="D574" s="408">
        <v>-10</v>
      </c>
      <c r="E574" s="2" t="s">
        <v>518</v>
      </c>
      <c r="F574" s="379"/>
      <c r="G574" s="2"/>
      <c r="H574" s="21"/>
      <c r="I574" s="21"/>
      <c r="J574" s="379"/>
      <c r="K574" s="379"/>
      <c r="L574" s="375"/>
      <c r="M574" s="379"/>
      <c r="N574" s="381"/>
      <c r="O574" s="229"/>
      <c r="P574"/>
      <c r="Q574"/>
      <c r="T574"/>
    </row>
    <row r="575" spans="1:20" ht="28.5" customHeight="1" x14ac:dyDescent="0.3">
      <c r="A575" s="228"/>
      <c r="B575" s="47"/>
      <c r="C575" s="382" t="s">
        <v>539</v>
      </c>
      <c r="D575" s="2">
        <v>16.600000000000001</v>
      </c>
      <c r="E575" s="2" t="s">
        <v>534</v>
      </c>
      <c r="F575" s="379"/>
      <c r="G575" s="389" t="s">
        <v>540</v>
      </c>
      <c r="H575" s="390">
        <f>((D570*D571)/(H572*H573))*(LN((H570)-(H568))/((H571)-(H568)))</f>
        <v>0.7550526071441841</v>
      </c>
      <c r="I575" s="389" t="s">
        <v>541</v>
      </c>
      <c r="J575" s="379"/>
      <c r="K575" s="388"/>
      <c r="L575" s="391"/>
      <c r="M575" s="388"/>
      <c r="N575" s="381"/>
      <c r="O575" s="229"/>
      <c r="P575"/>
      <c r="Q575"/>
      <c r="T575"/>
    </row>
    <row r="576" spans="1:20" ht="28.5" customHeight="1" x14ac:dyDescent="0.3">
      <c r="A576" s="228"/>
      <c r="B576" s="47"/>
      <c r="C576" s="392" t="s">
        <v>542</v>
      </c>
      <c r="D576" s="393">
        <f>D570*D571*(D573-D574)</f>
        <v>58407.999999999993</v>
      </c>
      <c r="E576" s="389" t="s">
        <v>543</v>
      </c>
      <c r="F576" s="379"/>
      <c r="G576" s="670" t="s">
        <v>544</v>
      </c>
      <c r="H576" s="671"/>
      <c r="I576" s="672"/>
      <c r="J576" s="379"/>
      <c r="K576" s="388"/>
      <c r="L576" s="397"/>
      <c r="M576" s="388"/>
      <c r="N576" s="381"/>
      <c r="O576" s="229"/>
      <c r="P576"/>
      <c r="Q576"/>
      <c r="T576"/>
    </row>
    <row r="577" spans="1:20" ht="28.5" customHeight="1" x14ac:dyDescent="0.3">
      <c r="A577" s="228"/>
      <c r="B577" s="47"/>
      <c r="C577" s="409"/>
      <c r="D577" s="410"/>
      <c r="E577" s="411"/>
      <c r="F577" s="379"/>
      <c r="G577" s="398" t="s">
        <v>545</v>
      </c>
      <c r="H577" s="399">
        <v>120</v>
      </c>
      <c r="I577" s="400" t="s">
        <v>546</v>
      </c>
      <c r="J577" s="379"/>
      <c r="K577" s="388"/>
      <c r="L577" s="397"/>
      <c r="M577" s="388"/>
      <c r="N577" s="381"/>
      <c r="O577" s="229"/>
      <c r="P577"/>
      <c r="Q577"/>
      <c r="T577"/>
    </row>
    <row r="578" spans="1:20" ht="28.5" customHeight="1" x14ac:dyDescent="0.3">
      <c r="A578" s="228"/>
      <c r="B578" s="47"/>
      <c r="C578" s="409"/>
      <c r="D578" s="410"/>
      <c r="E578" s="411"/>
      <c r="F578" s="379"/>
      <c r="G578" s="398" t="s">
        <v>545</v>
      </c>
      <c r="H578" s="404">
        <f>H577/60</f>
        <v>2</v>
      </c>
      <c r="I578" s="400" t="s">
        <v>541</v>
      </c>
      <c r="J578" s="379"/>
      <c r="K578" s="388"/>
      <c r="L578" s="397"/>
      <c r="M578" s="388"/>
      <c r="N578" s="381"/>
      <c r="O578" s="229"/>
      <c r="P578"/>
      <c r="Q578"/>
      <c r="T578"/>
    </row>
    <row r="579" spans="1:20" ht="28.5" customHeight="1" thickBot="1" x14ac:dyDescent="0.35">
      <c r="A579" s="228"/>
      <c r="B579" s="402"/>
      <c r="C579" s="403"/>
      <c r="D579" s="403"/>
      <c r="E579" s="403"/>
      <c r="F579" s="403"/>
      <c r="G579" s="403"/>
      <c r="H579" s="403"/>
      <c r="I579" s="403"/>
      <c r="J579" s="403"/>
      <c r="K579" s="403"/>
      <c r="L579" s="405"/>
      <c r="M579" s="403"/>
      <c r="N579" s="406"/>
      <c r="O579" s="229"/>
      <c r="P579"/>
      <c r="Q579"/>
      <c r="T579"/>
    </row>
    <row r="580" spans="1:20" ht="43.5" customHeight="1" thickBot="1" x14ac:dyDescent="0.35">
      <c r="A580" s="228"/>
      <c r="B580" s="713" t="s">
        <v>592</v>
      </c>
      <c r="C580" s="714"/>
      <c r="D580" s="714"/>
      <c r="E580" s="714"/>
      <c r="F580" s="714"/>
      <c r="G580" s="714"/>
      <c r="H580" s="714"/>
      <c r="I580" s="714"/>
      <c r="J580" s="714"/>
      <c r="K580" s="714"/>
      <c r="L580" s="714"/>
      <c r="M580" s="714"/>
      <c r="N580" s="715"/>
      <c r="O580" s="229"/>
      <c r="P580"/>
      <c r="Q580"/>
      <c r="T580"/>
    </row>
    <row r="581" spans="1:20" ht="43.5" customHeight="1" thickBot="1" x14ac:dyDescent="0.35">
      <c r="A581" s="228"/>
      <c r="B581" s="713" t="s">
        <v>593</v>
      </c>
      <c r="C581" s="714"/>
      <c r="D581" s="714"/>
      <c r="E581" s="714"/>
      <c r="F581" s="714"/>
      <c r="G581" s="714"/>
      <c r="H581" s="714"/>
      <c r="I581" s="714"/>
      <c r="J581" s="714"/>
      <c r="K581" s="714"/>
      <c r="L581" s="714"/>
      <c r="M581" s="714"/>
      <c r="N581" s="715"/>
      <c r="O581" s="229"/>
      <c r="P581"/>
      <c r="Q581"/>
      <c r="T581"/>
    </row>
    <row r="582" spans="1:20" ht="52.5" customHeight="1" x14ac:dyDescent="0.3">
      <c r="A582" s="228"/>
      <c r="B582" s="365" t="s">
        <v>498</v>
      </c>
      <c r="C582" s="366" t="s">
        <v>499</v>
      </c>
      <c r="D582" s="366" t="s">
        <v>500</v>
      </c>
      <c r="E582" s="366" t="s">
        <v>501</v>
      </c>
      <c r="F582" s="366" t="s">
        <v>502</v>
      </c>
      <c r="G582" s="366" t="s">
        <v>574</v>
      </c>
      <c r="H582" s="366" t="s">
        <v>504</v>
      </c>
      <c r="I582" s="366" t="s">
        <v>505</v>
      </c>
      <c r="J582" s="366" t="s">
        <v>506</v>
      </c>
      <c r="K582" s="366" t="s">
        <v>507</v>
      </c>
      <c r="L582" s="366" t="s">
        <v>562</v>
      </c>
      <c r="M582" s="679" t="s">
        <v>563</v>
      </c>
      <c r="N582" s="680"/>
      <c r="O582" s="229"/>
      <c r="P582"/>
      <c r="Q582"/>
      <c r="T582"/>
    </row>
    <row r="583" spans="1:20" ht="30" customHeight="1" thickBot="1" x14ac:dyDescent="0.35">
      <c r="A583" s="228"/>
      <c r="B583" s="369">
        <v>2</v>
      </c>
      <c r="C583" s="222" t="s">
        <v>555</v>
      </c>
      <c r="D583" s="222">
        <v>10</v>
      </c>
      <c r="E583" s="212" t="s">
        <v>511</v>
      </c>
      <c r="F583" s="222" t="s">
        <v>96</v>
      </c>
      <c r="G583" s="222">
        <v>65</v>
      </c>
      <c r="H583" s="456" t="e">
        <f>(#REF!/#REF!)/#REF!</f>
        <v>#REF!</v>
      </c>
      <c r="I583" s="212" t="s">
        <v>96</v>
      </c>
      <c r="J583" s="212" t="s">
        <v>96</v>
      </c>
      <c r="K583" s="457">
        <f>xx!I87/xx!J86</f>
        <v>0.60679611650485432</v>
      </c>
      <c r="L583" s="371">
        <f>H597</f>
        <v>1.5</v>
      </c>
      <c r="M583" s="681">
        <f>L588</f>
        <v>236.03137254901958</v>
      </c>
      <c r="N583" s="682"/>
      <c r="O583" s="229"/>
      <c r="P583"/>
      <c r="Q583"/>
      <c r="T583"/>
    </row>
    <row r="584" spans="1:20" ht="30" customHeight="1" x14ac:dyDescent="0.3">
      <c r="A584" s="228"/>
      <c r="B584" s="683"/>
      <c r="C584" s="628"/>
      <c r="D584" s="628"/>
      <c r="E584" s="628"/>
      <c r="F584" s="628"/>
      <c r="G584" s="628"/>
      <c r="H584" s="628"/>
      <c r="I584" s="628"/>
      <c r="J584" s="628"/>
      <c r="K584" s="628"/>
      <c r="L584" s="628"/>
      <c r="M584" s="628"/>
      <c r="N584" s="629"/>
      <c r="O584" s="229"/>
      <c r="P584"/>
      <c r="Q584"/>
      <c r="T584"/>
    </row>
    <row r="585" spans="1:20" ht="30" customHeight="1" x14ac:dyDescent="0.3">
      <c r="A585" s="228"/>
      <c r="B585" s="47"/>
      <c r="C585" s="673" t="s">
        <v>564</v>
      </c>
      <c r="D585" s="674"/>
      <c r="E585" s="675"/>
      <c r="F585" s="375"/>
      <c r="G585" s="673" t="s">
        <v>565</v>
      </c>
      <c r="H585" s="674"/>
      <c r="I585" s="675"/>
      <c r="J585" s="375"/>
      <c r="K585" s="673" t="s">
        <v>566</v>
      </c>
      <c r="L585" s="674"/>
      <c r="M585" s="675"/>
      <c r="N585" s="376"/>
      <c r="O585" s="229"/>
      <c r="P585"/>
      <c r="Q585"/>
      <c r="T585"/>
    </row>
    <row r="586" spans="1:20" ht="30" customHeight="1" x14ac:dyDescent="0.3">
      <c r="A586" s="228"/>
      <c r="B586" s="47"/>
      <c r="C586" s="438"/>
      <c r="D586" s="439"/>
      <c r="E586" s="440"/>
      <c r="F586" s="420"/>
      <c r="G586" s="441"/>
      <c r="H586" s="420"/>
      <c r="I586" s="442"/>
      <c r="J586" s="420"/>
      <c r="K586" s="443"/>
      <c r="L586" s="420"/>
      <c r="M586" s="444"/>
      <c r="N586" s="376"/>
      <c r="O586" s="229"/>
      <c r="P586"/>
      <c r="Q586"/>
      <c r="T586"/>
    </row>
    <row r="587" spans="1:20" ht="30" customHeight="1" x14ac:dyDescent="0.3">
      <c r="A587" s="228"/>
      <c r="B587" s="47"/>
      <c r="C587" s="382" t="s">
        <v>515</v>
      </c>
      <c r="D587" s="11">
        <f>D583</f>
        <v>10</v>
      </c>
      <c r="E587" s="2" t="s">
        <v>516</v>
      </c>
      <c r="F587" s="420"/>
      <c r="G587" s="382" t="s">
        <v>517</v>
      </c>
      <c r="H587" s="3">
        <v>143</v>
      </c>
      <c r="I587" s="2" t="s">
        <v>518</v>
      </c>
      <c r="J587" s="420"/>
      <c r="K587" s="21" t="s">
        <v>519</v>
      </c>
      <c r="L587" s="445">
        <f>D596/H597</f>
        <v>120375.99999999999</v>
      </c>
      <c r="M587" s="2" t="s">
        <v>520</v>
      </c>
      <c r="N587" s="376"/>
      <c r="O587" s="229"/>
      <c r="P587"/>
      <c r="Q587"/>
      <c r="T587"/>
    </row>
    <row r="588" spans="1:20" ht="37.5" customHeight="1" x14ac:dyDescent="0.3">
      <c r="A588" s="228"/>
      <c r="B588" s="47"/>
      <c r="C588" s="382" t="s">
        <v>521</v>
      </c>
      <c r="D588" s="11" t="s">
        <v>96</v>
      </c>
      <c r="E588" s="2" t="s">
        <v>522</v>
      </c>
      <c r="F588" s="420"/>
      <c r="G588" s="382" t="s">
        <v>523</v>
      </c>
      <c r="H588" s="11">
        <f>D590</f>
        <v>0.7</v>
      </c>
      <c r="I588" s="2" t="s">
        <v>524</v>
      </c>
      <c r="J588" s="420"/>
      <c r="K588" s="431" t="s">
        <v>569</v>
      </c>
      <c r="L588" s="432">
        <f>L587/D595</f>
        <v>236.03137254901958</v>
      </c>
      <c r="M588" s="349" t="s">
        <v>570</v>
      </c>
      <c r="N588" s="376"/>
      <c r="O588" s="229"/>
      <c r="P588"/>
      <c r="Q588"/>
      <c r="T588"/>
    </row>
    <row r="589" spans="1:20" ht="30" customHeight="1" x14ac:dyDescent="0.3">
      <c r="A589" s="228"/>
      <c r="B589" s="47"/>
      <c r="C589" s="382" t="s">
        <v>526</v>
      </c>
      <c r="D589" s="3">
        <f>xx!J86</f>
        <v>2472</v>
      </c>
      <c r="E589" s="2" t="s">
        <v>527</v>
      </c>
      <c r="F589" s="420"/>
      <c r="G589" s="382" t="s">
        <v>528</v>
      </c>
      <c r="H589" s="11">
        <f>D592</f>
        <v>25</v>
      </c>
      <c r="I589" s="2" t="s">
        <v>518</v>
      </c>
      <c r="J589" s="420"/>
      <c r="K589" s="420"/>
      <c r="L589" s="449"/>
      <c r="M589" s="420"/>
      <c r="N589" s="376"/>
      <c r="O589" s="229"/>
      <c r="P589"/>
      <c r="Q589"/>
      <c r="T589"/>
    </row>
    <row r="590" spans="1:20" ht="30" customHeight="1" x14ac:dyDescent="0.3">
      <c r="A590" s="228"/>
      <c r="B590" s="47"/>
      <c r="C590" s="382" t="s">
        <v>529</v>
      </c>
      <c r="D590" s="11">
        <v>0.7</v>
      </c>
      <c r="E590" s="2" t="s">
        <v>524</v>
      </c>
      <c r="F590" s="420"/>
      <c r="G590" s="382" t="s">
        <v>530</v>
      </c>
      <c r="H590" s="11">
        <f>D593</f>
        <v>60</v>
      </c>
      <c r="I590" s="2" t="s">
        <v>518</v>
      </c>
      <c r="J590" s="420"/>
      <c r="K590" s="420"/>
      <c r="L590" s="449"/>
      <c r="M590" s="420"/>
      <c r="N590" s="376"/>
      <c r="O590" s="229"/>
      <c r="P590"/>
      <c r="Q590"/>
      <c r="T590"/>
    </row>
    <row r="591" spans="1:20" ht="30" customHeight="1" x14ac:dyDescent="0.3">
      <c r="A591" s="228"/>
      <c r="B591" s="47"/>
      <c r="C591" s="382" t="s">
        <v>531</v>
      </c>
      <c r="D591" s="383">
        <v>80</v>
      </c>
      <c r="E591" s="2" t="s">
        <v>532</v>
      </c>
      <c r="F591" s="420"/>
      <c r="G591" s="382" t="s">
        <v>533</v>
      </c>
      <c r="H591" s="11">
        <f>D594</f>
        <v>21</v>
      </c>
      <c r="I591" s="2" t="s">
        <v>534</v>
      </c>
      <c r="J591" s="420"/>
      <c r="K591" s="420"/>
      <c r="L591" s="375"/>
      <c r="M591" s="420"/>
      <c r="N591" s="376"/>
      <c r="O591" s="229"/>
      <c r="P591"/>
      <c r="Q591"/>
      <c r="T591"/>
    </row>
    <row r="592" spans="1:20" ht="30" customHeight="1" x14ac:dyDescent="0.3">
      <c r="A592" s="228"/>
      <c r="B592" s="47"/>
      <c r="C592" s="382" t="s">
        <v>535</v>
      </c>
      <c r="D592" s="11">
        <v>25</v>
      </c>
      <c r="E592" s="2" t="s">
        <v>518</v>
      </c>
      <c r="F592" s="420"/>
      <c r="G592" s="382" t="s">
        <v>536</v>
      </c>
      <c r="H592" s="2">
        <v>400</v>
      </c>
      <c r="I592" s="21" t="s">
        <v>537</v>
      </c>
      <c r="J592" s="420"/>
      <c r="K592" s="420"/>
      <c r="L592" s="420"/>
      <c r="M592" s="420"/>
      <c r="N592" s="376"/>
      <c r="O592" s="229"/>
      <c r="P592"/>
      <c r="Q592"/>
      <c r="T592"/>
    </row>
    <row r="593" spans="1:20" ht="30" customHeight="1" x14ac:dyDescent="0.3">
      <c r="A593" s="228"/>
      <c r="B593" s="47"/>
      <c r="C593" s="382" t="s">
        <v>538</v>
      </c>
      <c r="D593" s="11">
        <v>60</v>
      </c>
      <c r="E593" s="2" t="s">
        <v>518</v>
      </c>
      <c r="F593" s="420"/>
      <c r="G593" s="2"/>
      <c r="H593" s="21"/>
      <c r="I593" s="21"/>
      <c r="J593" s="420"/>
      <c r="K593" s="420"/>
      <c r="L593" s="420"/>
      <c r="M593" s="420"/>
      <c r="N593" s="376"/>
      <c r="O593" s="229"/>
      <c r="P593"/>
      <c r="Q593"/>
      <c r="T593"/>
    </row>
    <row r="594" spans="1:20" ht="30" customHeight="1" x14ac:dyDescent="0.3">
      <c r="A594" s="228"/>
      <c r="B594" s="47"/>
      <c r="C594" s="382" t="s">
        <v>539</v>
      </c>
      <c r="D594" s="11">
        <v>21</v>
      </c>
      <c r="E594" s="2" t="s">
        <v>534</v>
      </c>
      <c r="F594" s="420"/>
      <c r="G594" s="389" t="s">
        <v>540</v>
      </c>
      <c r="H594" s="390" t="e">
        <f>(((D589*D590*(D593-D592)+D589*D591*H583)/(H591*H592))*(LN((H587-H589)/(H587-H590))))</f>
        <v>#REF!</v>
      </c>
      <c r="I594" s="389" t="s">
        <v>541</v>
      </c>
      <c r="J594" s="420"/>
      <c r="K594" s="420"/>
      <c r="L594" s="420"/>
      <c r="M594" s="420"/>
      <c r="N594" s="376"/>
      <c r="O594" s="229"/>
      <c r="P594"/>
      <c r="Q594"/>
      <c r="T594"/>
    </row>
    <row r="595" spans="1:20" ht="30" customHeight="1" x14ac:dyDescent="0.3">
      <c r="A595" s="228"/>
      <c r="B595" s="47"/>
      <c r="C595" s="382" t="s">
        <v>571</v>
      </c>
      <c r="D595" s="11">
        <v>510</v>
      </c>
      <c r="E595" s="2" t="s">
        <v>572</v>
      </c>
      <c r="F595" s="420"/>
      <c r="G595" s="670" t="s">
        <v>567</v>
      </c>
      <c r="H595" s="671"/>
      <c r="I595" s="672"/>
      <c r="J595" s="420"/>
      <c r="K595" s="420"/>
      <c r="L595" s="420"/>
      <c r="M595" s="420"/>
      <c r="N595" s="376"/>
      <c r="O595" s="229"/>
      <c r="P595"/>
      <c r="Q595"/>
      <c r="T595"/>
    </row>
    <row r="596" spans="1:20" ht="30" customHeight="1" x14ac:dyDescent="0.3">
      <c r="A596" s="228"/>
      <c r="B596" s="47"/>
      <c r="C596" s="392" t="s">
        <v>573</v>
      </c>
      <c r="D596" s="393">
        <f>(D589*D590*(D593-D592)+D589*D591*K583)</f>
        <v>180563.99999999997</v>
      </c>
      <c r="E596" s="389" t="s">
        <v>543</v>
      </c>
      <c r="F596" s="420"/>
      <c r="G596" s="398" t="s">
        <v>568</v>
      </c>
      <c r="H596" s="399">
        <v>90</v>
      </c>
      <c r="I596" s="400" t="s">
        <v>546</v>
      </c>
      <c r="J596" s="420"/>
      <c r="K596" s="420"/>
      <c r="L596" s="420"/>
      <c r="M596" s="420"/>
      <c r="N596" s="376"/>
      <c r="O596" s="229"/>
      <c r="P596"/>
      <c r="Q596"/>
      <c r="T596"/>
    </row>
    <row r="597" spans="1:20" ht="30" customHeight="1" x14ac:dyDescent="0.3">
      <c r="A597" s="228"/>
      <c r="B597" s="47"/>
      <c r="C597"/>
      <c r="D597"/>
      <c r="E597"/>
      <c r="F597"/>
      <c r="G597" s="398" t="s">
        <v>568</v>
      </c>
      <c r="H597" s="404">
        <f>H596/60</f>
        <v>1.5</v>
      </c>
      <c r="I597" s="400" t="s">
        <v>541</v>
      </c>
      <c r="J597" s="379"/>
      <c r="K597" s="388"/>
      <c r="L597" s="401"/>
      <c r="M597" s="401"/>
      <c r="N597" s="381"/>
      <c r="O597" s="229"/>
      <c r="P597"/>
      <c r="Q597"/>
      <c r="T597"/>
    </row>
    <row r="598" spans="1:20" ht="30" customHeight="1" x14ac:dyDescent="0.3">
      <c r="A598" s="228"/>
      <c r="B598" s="47"/>
      <c r="C598" s="379"/>
      <c r="D598" s="410"/>
      <c r="E598" s="410"/>
      <c r="F598" s="379"/>
      <c r="G598"/>
      <c r="H598"/>
      <c r="I598"/>
      <c r="J598" s="379"/>
      <c r="K598" s="388"/>
      <c r="L598" s="401"/>
      <c r="M598" s="401"/>
      <c r="N598" s="381"/>
      <c r="O598" s="229"/>
      <c r="P598"/>
      <c r="Q598"/>
      <c r="T598"/>
    </row>
    <row r="599" spans="1:20" ht="30" customHeight="1" thickBot="1" x14ac:dyDescent="0.35">
      <c r="A599" s="228"/>
      <c r="B599" s="47"/>
      <c r="C599" s="379"/>
      <c r="D599" s="410"/>
      <c r="E599" s="410"/>
      <c r="F599" s="379"/>
      <c r="G599"/>
      <c r="H599"/>
      <c r="I599"/>
      <c r="J599" s="379"/>
      <c r="K599" s="388"/>
      <c r="L599" s="401"/>
      <c r="M599" s="401"/>
      <c r="N599" s="381"/>
      <c r="O599" s="229"/>
      <c r="P599"/>
      <c r="Q599"/>
      <c r="T599"/>
    </row>
    <row r="600" spans="1:20" ht="52.5" customHeight="1" x14ac:dyDescent="0.3">
      <c r="A600" s="228"/>
      <c r="B600" s="365" t="s">
        <v>498</v>
      </c>
      <c r="C600" s="366" t="s">
        <v>499</v>
      </c>
      <c r="D600" s="366" t="s">
        <v>500</v>
      </c>
      <c r="E600" s="366" t="s">
        <v>501</v>
      </c>
      <c r="F600" s="366" t="s">
        <v>502</v>
      </c>
      <c r="G600" s="366" t="s">
        <v>574</v>
      </c>
      <c r="H600" s="366" t="s">
        <v>504</v>
      </c>
      <c r="I600" s="366" t="s">
        <v>505</v>
      </c>
      <c r="J600" s="366" t="s">
        <v>506</v>
      </c>
      <c r="K600" s="366" t="s">
        <v>507</v>
      </c>
      <c r="L600" s="366" t="s">
        <v>562</v>
      </c>
      <c r="M600" s="679" t="s">
        <v>563</v>
      </c>
      <c r="N600" s="680"/>
      <c r="O600" s="229"/>
      <c r="P600"/>
      <c r="Q600"/>
      <c r="T600"/>
    </row>
    <row r="601" spans="1:20" ht="30" customHeight="1" thickBot="1" x14ac:dyDescent="0.35">
      <c r="A601" s="228"/>
      <c r="B601" s="369">
        <v>3</v>
      </c>
      <c r="C601" s="222" t="s">
        <v>555</v>
      </c>
      <c r="D601" s="222">
        <v>10</v>
      </c>
      <c r="E601" s="212" t="s">
        <v>511</v>
      </c>
      <c r="F601" s="222" t="s">
        <v>96</v>
      </c>
      <c r="G601" s="222">
        <v>65</v>
      </c>
      <c r="H601" s="456" t="e">
        <f>(#REF!/#REF!)/#REF!</f>
        <v>#REF!</v>
      </c>
      <c r="I601" s="212" t="s">
        <v>96</v>
      </c>
      <c r="J601" s="212" t="s">
        <v>96</v>
      </c>
      <c r="K601" s="457">
        <f>xx!I88/xx!J87</f>
        <v>0.82304526748971196</v>
      </c>
      <c r="L601" s="371">
        <f>H615</f>
        <v>1</v>
      </c>
      <c r="M601" s="681">
        <f>L606</f>
        <v>138.83137254901962</v>
      </c>
      <c r="N601" s="682"/>
      <c r="O601" s="229"/>
      <c r="P601"/>
      <c r="Q601"/>
      <c r="T601"/>
    </row>
    <row r="602" spans="1:20" ht="30" customHeight="1" x14ac:dyDescent="0.3">
      <c r="A602" s="228"/>
      <c r="B602" s="683"/>
      <c r="C602" s="628"/>
      <c r="D602" s="628"/>
      <c r="E602" s="628"/>
      <c r="F602" s="628"/>
      <c r="G602" s="628"/>
      <c r="H602" s="628"/>
      <c r="I602" s="628"/>
      <c r="J602" s="628"/>
      <c r="K602" s="628"/>
      <c r="L602" s="628"/>
      <c r="M602" s="628"/>
      <c r="N602" s="629"/>
      <c r="O602" s="229"/>
      <c r="P602"/>
      <c r="Q602"/>
      <c r="T602"/>
    </row>
    <row r="603" spans="1:20" ht="30" customHeight="1" x14ac:dyDescent="0.3">
      <c r="A603" s="228"/>
      <c r="B603" s="47"/>
      <c r="C603" s="673" t="s">
        <v>564</v>
      </c>
      <c r="D603" s="674"/>
      <c r="E603" s="675"/>
      <c r="F603" s="375"/>
      <c r="G603" s="673" t="s">
        <v>565</v>
      </c>
      <c r="H603" s="674"/>
      <c r="I603" s="675"/>
      <c r="J603" s="375"/>
      <c r="K603" s="673" t="s">
        <v>566</v>
      </c>
      <c r="L603" s="674"/>
      <c r="M603" s="675"/>
      <c r="N603" s="376"/>
      <c r="O603" s="229"/>
      <c r="P603"/>
      <c r="Q603"/>
      <c r="T603"/>
    </row>
    <row r="604" spans="1:20" ht="30" customHeight="1" x14ac:dyDescent="0.3">
      <c r="A604" s="228"/>
      <c r="B604" s="47"/>
      <c r="C604" s="438"/>
      <c r="D604" s="439"/>
      <c r="E604" s="440"/>
      <c r="F604" s="420"/>
      <c r="G604" s="441"/>
      <c r="H604" s="420"/>
      <c r="I604" s="442"/>
      <c r="J604" s="420"/>
      <c r="K604" s="443"/>
      <c r="L604" s="420"/>
      <c r="M604" s="444"/>
      <c r="N604" s="376"/>
      <c r="O604" s="229"/>
      <c r="P604"/>
      <c r="Q604"/>
      <c r="T604"/>
    </row>
    <row r="605" spans="1:20" ht="30" customHeight="1" x14ac:dyDescent="0.3">
      <c r="A605" s="228"/>
      <c r="B605" s="47"/>
      <c r="C605" s="382" t="s">
        <v>515</v>
      </c>
      <c r="D605" s="11">
        <f>D601</f>
        <v>10</v>
      </c>
      <c r="E605" s="2" t="s">
        <v>516</v>
      </c>
      <c r="F605" s="420"/>
      <c r="G605" s="382" t="s">
        <v>517</v>
      </c>
      <c r="H605" s="3">
        <v>143</v>
      </c>
      <c r="I605" s="2" t="s">
        <v>518</v>
      </c>
      <c r="J605" s="420"/>
      <c r="K605" s="21" t="s">
        <v>519</v>
      </c>
      <c r="L605" s="445">
        <f>D614/H615</f>
        <v>70804</v>
      </c>
      <c r="M605" s="2" t="s">
        <v>520</v>
      </c>
      <c r="N605" s="376"/>
      <c r="O605" s="229"/>
      <c r="P605"/>
      <c r="Q605"/>
      <c r="T605"/>
    </row>
    <row r="606" spans="1:20" ht="37.5" customHeight="1" x14ac:dyDescent="0.3">
      <c r="A606" s="228"/>
      <c r="B606" s="47"/>
      <c r="C606" s="382" t="s">
        <v>521</v>
      </c>
      <c r="D606" s="11" t="s">
        <v>96</v>
      </c>
      <c r="E606" s="2" t="s">
        <v>522</v>
      </c>
      <c r="F606" s="420"/>
      <c r="G606" s="382" t="s">
        <v>523</v>
      </c>
      <c r="H606" s="11">
        <f>D608</f>
        <v>0.7</v>
      </c>
      <c r="I606" s="2" t="s">
        <v>524</v>
      </c>
      <c r="J606" s="420"/>
      <c r="K606" s="431" t="s">
        <v>569</v>
      </c>
      <c r="L606" s="432">
        <f>L605/D613</f>
        <v>138.83137254901962</v>
      </c>
      <c r="M606" s="349" t="s">
        <v>570</v>
      </c>
      <c r="N606" s="376"/>
      <c r="O606" s="229"/>
      <c r="P606"/>
      <c r="Q606"/>
      <c r="T606"/>
    </row>
    <row r="607" spans="1:20" ht="30" customHeight="1" x14ac:dyDescent="0.3">
      <c r="A607" s="228"/>
      <c r="B607" s="47"/>
      <c r="C607" s="382" t="s">
        <v>526</v>
      </c>
      <c r="D607" s="3">
        <f>xx!J87</f>
        <v>972</v>
      </c>
      <c r="E607" s="2" t="s">
        <v>527</v>
      </c>
      <c r="F607" s="420"/>
      <c r="G607" s="382" t="s">
        <v>528</v>
      </c>
      <c r="H607" s="11">
        <f>D610</f>
        <v>60</v>
      </c>
      <c r="I607" s="2" t="s">
        <v>518</v>
      </c>
      <c r="J607" s="420"/>
      <c r="K607" s="420"/>
      <c r="L607" s="449"/>
      <c r="M607" s="420"/>
      <c r="N607" s="376"/>
      <c r="O607" s="229"/>
      <c r="P607"/>
      <c r="Q607"/>
      <c r="T607"/>
    </row>
    <row r="608" spans="1:20" ht="30" customHeight="1" x14ac:dyDescent="0.3">
      <c r="A608" s="228"/>
      <c r="B608" s="47"/>
      <c r="C608" s="382" t="s">
        <v>529</v>
      </c>
      <c r="D608" s="11">
        <v>0.7</v>
      </c>
      <c r="E608" s="2" t="s">
        <v>524</v>
      </c>
      <c r="F608" s="420"/>
      <c r="G608" s="382" t="s">
        <v>530</v>
      </c>
      <c r="H608" s="11">
        <f>D611</f>
        <v>70</v>
      </c>
      <c r="I608" s="2" t="s">
        <v>518</v>
      </c>
      <c r="J608" s="420"/>
      <c r="K608" s="420"/>
      <c r="L608" s="449"/>
      <c r="M608" s="420"/>
      <c r="N608" s="376"/>
      <c r="O608" s="229"/>
      <c r="P608"/>
      <c r="Q608"/>
      <c r="T608"/>
    </row>
    <row r="609" spans="1:20" ht="30" customHeight="1" x14ac:dyDescent="0.3">
      <c r="A609" s="228"/>
      <c r="B609" s="47"/>
      <c r="C609" s="382" t="s">
        <v>531</v>
      </c>
      <c r="D609" s="383">
        <v>80</v>
      </c>
      <c r="E609" s="2" t="s">
        <v>532</v>
      </c>
      <c r="F609" s="420"/>
      <c r="G609" s="382" t="s">
        <v>533</v>
      </c>
      <c r="H609" s="11">
        <f>D612</f>
        <v>21</v>
      </c>
      <c r="I609" s="2" t="s">
        <v>534</v>
      </c>
      <c r="J609" s="420"/>
      <c r="K609" s="420"/>
      <c r="L609" s="375"/>
      <c r="M609" s="420"/>
      <c r="N609" s="376"/>
      <c r="O609" s="229"/>
      <c r="P609"/>
      <c r="Q609"/>
      <c r="T609"/>
    </row>
    <row r="610" spans="1:20" ht="30" customHeight="1" x14ac:dyDescent="0.3">
      <c r="A610" s="228"/>
      <c r="B610" s="47"/>
      <c r="C610" s="382" t="s">
        <v>535</v>
      </c>
      <c r="D610" s="11">
        <v>60</v>
      </c>
      <c r="E610" s="2" t="s">
        <v>518</v>
      </c>
      <c r="F610" s="420"/>
      <c r="G610" s="382" t="s">
        <v>536</v>
      </c>
      <c r="H610" s="2">
        <v>400</v>
      </c>
      <c r="I610" s="21" t="s">
        <v>537</v>
      </c>
      <c r="J610" s="420"/>
      <c r="K610" s="420"/>
      <c r="L610" s="420"/>
      <c r="M610" s="420"/>
      <c r="N610" s="376"/>
      <c r="O610" s="229"/>
      <c r="P610"/>
      <c r="Q610"/>
      <c r="T610"/>
    </row>
    <row r="611" spans="1:20" ht="30" customHeight="1" x14ac:dyDescent="0.3">
      <c r="A611" s="228"/>
      <c r="B611" s="47"/>
      <c r="C611" s="382" t="s">
        <v>538</v>
      </c>
      <c r="D611" s="11">
        <v>70</v>
      </c>
      <c r="E611" s="2" t="s">
        <v>518</v>
      </c>
      <c r="F611" s="420"/>
      <c r="G611" s="2"/>
      <c r="H611" s="21"/>
      <c r="I611" s="21"/>
      <c r="J611" s="420"/>
      <c r="K611" s="420"/>
      <c r="L611" s="420"/>
      <c r="M611" s="420"/>
      <c r="N611" s="376"/>
      <c r="O611" s="229"/>
      <c r="P611"/>
      <c r="Q611"/>
      <c r="T611"/>
    </row>
    <row r="612" spans="1:20" ht="30" customHeight="1" x14ac:dyDescent="0.3">
      <c r="A612" s="228"/>
      <c r="B612" s="47"/>
      <c r="C612" s="382" t="s">
        <v>539</v>
      </c>
      <c r="D612" s="11">
        <v>21</v>
      </c>
      <c r="E612" s="2" t="s">
        <v>534</v>
      </c>
      <c r="F612" s="420"/>
      <c r="G612" s="389" t="s">
        <v>540</v>
      </c>
      <c r="H612" s="390" t="e">
        <f>(((D607*D608*(D611-D610)+D607*D609*H601)/(H609*H610))*(LN((H605-H607)/(H605-H608))))</f>
        <v>#REF!</v>
      </c>
      <c r="I612" s="389" t="s">
        <v>541</v>
      </c>
      <c r="J612" s="420"/>
      <c r="K612" s="420"/>
      <c r="L612" s="420"/>
      <c r="M612" s="420"/>
      <c r="N612" s="376"/>
      <c r="O612" s="229"/>
      <c r="P612"/>
      <c r="Q612"/>
      <c r="T612"/>
    </row>
    <row r="613" spans="1:20" ht="30" customHeight="1" x14ac:dyDescent="0.3">
      <c r="A613" s="228"/>
      <c r="B613" s="47"/>
      <c r="C613" s="382" t="s">
        <v>571</v>
      </c>
      <c r="D613" s="11">
        <v>510</v>
      </c>
      <c r="E613" s="2" t="s">
        <v>572</v>
      </c>
      <c r="F613" s="420"/>
      <c r="G613" s="670" t="s">
        <v>567</v>
      </c>
      <c r="H613" s="671"/>
      <c r="I613" s="672"/>
      <c r="J613" s="420"/>
      <c r="K613" s="420"/>
      <c r="L613" s="420"/>
      <c r="M613" s="420"/>
      <c r="N613" s="376"/>
      <c r="O613" s="229"/>
      <c r="P613"/>
      <c r="Q613"/>
      <c r="T613"/>
    </row>
    <row r="614" spans="1:20" ht="30" customHeight="1" x14ac:dyDescent="0.3">
      <c r="A614" s="228"/>
      <c r="B614" s="47"/>
      <c r="C614" s="392" t="s">
        <v>573</v>
      </c>
      <c r="D614" s="393">
        <f>(D607*D608*(D611-D610)+D607*D609*K601)</f>
        <v>70804</v>
      </c>
      <c r="E614" s="389" t="s">
        <v>543</v>
      </c>
      <c r="F614" s="420"/>
      <c r="G614" s="398" t="s">
        <v>568</v>
      </c>
      <c r="H614" s="399">
        <v>60</v>
      </c>
      <c r="I614" s="400" t="s">
        <v>546</v>
      </c>
      <c r="J614" s="420"/>
      <c r="K614" s="420"/>
      <c r="L614" s="420"/>
      <c r="M614" s="420"/>
      <c r="N614" s="376"/>
      <c r="O614" s="229"/>
      <c r="P614"/>
      <c r="Q614"/>
      <c r="T614"/>
    </row>
    <row r="615" spans="1:20" ht="30" customHeight="1" x14ac:dyDescent="0.3">
      <c r="A615" s="228"/>
      <c r="B615" s="47"/>
      <c r="C615"/>
      <c r="D615"/>
      <c r="E615"/>
      <c r="F615"/>
      <c r="G615" s="398" t="s">
        <v>568</v>
      </c>
      <c r="H615" s="404">
        <f>H614/60</f>
        <v>1</v>
      </c>
      <c r="I615" s="400" t="s">
        <v>541</v>
      </c>
      <c r="J615" s="379"/>
      <c r="K615" s="388"/>
      <c r="L615" s="401"/>
      <c r="M615" s="401"/>
      <c r="N615" s="381"/>
      <c r="O615" s="229"/>
      <c r="P615"/>
      <c r="Q615"/>
      <c r="T615"/>
    </row>
    <row r="616" spans="1:20" ht="30" customHeight="1" x14ac:dyDescent="0.3">
      <c r="A616" s="228"/>
      <c r="B616" s="47"/>
      <c r="C616" s="379"/>
      <c r="D616" s="410"/>
      <c r="E616" s="410"/>
      <c r="F616" s="379"/>
      <c r="G616"/>
      <c r="H616"/>
      <c r="I616"/>
      <c r="J616" s="379"/>
      <c r="K616" s="388"/>
      <c r="L616" s="401"/>
      <c r="M616" s="401"/>
      <c r="N616" s="381"/>
      <c r="O616" s="229"/>
      <c r="P616"/>
      <c r="Q616"/>
      <c r="T616"/>
    </row>
    <row r="617" spans="1:20" ht="30" customHeight="1" thickBot="1" x14ac:dyDescent="0.35">
      <c r="A617" s="228"/>
      <c r="B617" s="47"/>
      <c r="C617" s="379"/>
      <c r="D617" s="410"/>
      <c r="E617" s="410"/>
      <c r="F617" s="379"/>
      <c r="G617"/>
      <c r="H617"/>
      <c r="I617"/>
      <c r="J617" s="379"/>
      <c r="K617" s="388"/>
      <c r="L617" s="401"/>
      <c r="M617" s="401"/>
      <c r="N617" s="381"/>
      <c r="O617" s="229"/>
      <c r="P617"/>
      <c r="Q617"/>
      <c r="T617"/>
    </row>
    <row r="618" spans="1:20" ht="56.55" customHeight="1" thickBot="1" x14ac:dyDescent="0.35">
      <c r="A618" s="228"/>
      <c r="B618" s="412" t="s">
        <v>498</v>
      </c>
      <c r="C618" s="66" t="s">
        <v>499</v>
      </c>
      <c r="D618" s="66" t="s">
        <v>500</v>
      </c>
      <c r="E618" s="66" t="s">
        <v>501</v>
      </c>
      <c r="F618" s="66" t="s">
        <v>502</v>
      </c>
      <c r="G618" s="66" t="s">
        <v>503</v>
      </c>
      <c r="H618" s="66" t="s">
        <v>504</v>
      </c>
      <c r="I618" s="66" t="s">
        <v>505</v>
      </c>
      <c r="J618" s="66" t="s">
        <v>506</v>
      </c>
      <c r="K618" s="66" t="s">
        <v>507</v>
      </c>
      <c r="L618" s="66" t="s">
        <v>508</v>
      </c>
      <c r="M618" s="708" t="s">
        <v>581</v>
      </c>
      <c r="N618" s="709"/>
      <c r="O618" s="229"/>
      <c r="P618"/>
      <c r="Q618"/>
      <c r="T618"/>
    </row>
    <row r="619" spans="1:20" ht="32.549999999999997" customHeight="1" thickBot="1" x14ac:dyDescent="0.35">
      <c r="A619" s="228"/>
      <c r="B619" s="474" t="s">
        <v>591</v>
      </c>
      <c r="C619" s="465" t="s">
        <v>555</v>
      </c>
      <c r="D619" s="414">
        <v>10</v>
      </c>
      <c r="E619" s="414" t="s">
        <v>511</v>
      </c>
      <c r="F619" s="415" t="s">
        <v>96</v>
      </c>
      <c r="G619" s="415">
        <v>-10</v>
      </c>
      <c r="H619" s="466" t="s">
        <v>96</v>
      </c>
      <c r="I619" s="414" t="s">
        <v>96</v>
      </c>
      <c r="J619" s="414" t="s">
        <v>96</v>
      </c>
      <c r="K619" s="415" t="s">
        <v>96</v>
      </c>
      <c r="L619" s="418">
        <f>H661</f>
        <v>0.16666666666666666</v>
      </c>
      <c r="M619" s="684">
        <f>L652</f>
        <v>23.9</v>
      </c>
      <c r="N619" s="685"/>
      <c r="O619" s="229"/>
      <c r="P619"/>
      <c r="Q619"/>
      <c r="T619"/>
    </row>
    <row r="620" spans="1:20" ht="28.5" customHeight="1" x14ac:dyDescent="0.3">
      <c r="A620" s="228"/>
      <c r="B620" s="683"/>
      <c r="C620" s="628"/>
      <c r="D620" s="628"/>
      <c r="E620" s="628"/>
      <c r="F620" s="628"/>
      <c r="G620" s="628"/>
      <c r="H620" s="628"/>
      <c r="I620" s="628"/>
      <c r="J620" s="628"/>
      <c r="K620" s="628"/>
      <c r="L620" s="628"/>
      <c r="M620" s="628"/>
      <c r="N620" s="629"/>
      <c r="O620" s="229"/>
      <c r="P620"/>
      <c r="Q620"/>
      <c r="T620"/>
    </row>
    <row r="621" spans="1:20" ht="30" customHeight="1" x14ac:dyDescent="0.3">
      <c r="A621" s="228"/>
      <c r="B621" s="47"/>
      <c r="C621" s="673" t="s">
        <v>577</v>
      </c>
      <c r="D621" s="674"/>
      <c r="E621" s="675"/>
      <c r="F621" s="375"/>
      <c r="G621" s="673" t="s">
        <v>578</v>
      </c>
      <c r="H621" s="674"/>
      <c r="I621" s="675"/>
      <c r="J621" s="375"/>
      <c r="K621" s="673" t="s">
        <v>579</v>
      </c>
      <c r="L621" s="674"/>
      <c r="M621" s="675"/>
      <c r="N621" s="376"/>
      <c r="O621" s="346"/>
      <c r="P621"/>
      <c r="Q621"/>
      <c r="T621"/>
    </row>
    <row r="622" spans="1:20" ht="30" customHeight="1" x14ac:dyDescent="0.3">
      <c r="A622" s="228"/>
      <c r="B622" s="47"/>
      <c r="C622" s="377"/>
      <c r="D622" s="11"/>
      <c r="E622" s="378"/>
      <c r="F622" s="379"/>
      <c r="G622" s="380"/>
      <c r="H622" s="380"/>
      <c r="I622" s="380"/>
      <c r="J622" s="379"/>
      <c r="K622" s="378"/>
      <c r="L622" s="2"/>
      <c r="M622" s="378"/>
      <c r="N622" s="381"/>
      <c r="O622" s="346"/>
      <c r="P622"/>
      <c r="Q622"/>
      <c r="T622"/>
    </row>
    <row r="623" spans="1:20" ht="30" customHeight="1" x14ac:dyDescent="0.3">
      <c r="A623" s="228"/>
      <c r="B623" s="47"/>
      <c r="C623" s="382" t="s">
        <v>515</v>
      </c>
      <c r="D623" s="383">
        <f>D619</f>
        <v>10</v>
      </c>
      <c r="E623" s="2" t="s">
        <v>516</v>
      </c>
      <c r="F623" s="379"/>
      <c r="G623" s="382" t="s">
        <v>517</v>
      </c>
      <c r="H623" s="3">
        <v>32</v>
      </c>
      <c r="I623" s="2" t="s">
        <v>518</v>
      </c>
      <c r="J623" s="379"/>
      <c r="K623" s="21" t="s">
        <v>519</v>
      </c>
      <c r="L623" s="163">
        <f>D631/H633</f>
        <v>21672</v>
      </c>
      <c r="M623" s="2" t="s">
        <v>520</v>
      </c>
      <c r="N623" s="381"/>
      <c r="O623" s="346"/>
      <c r="P623"/>
      <c r="Q623"/>
      <c r="T623"/>
    </row>
    <row r="624" spans="1:20" ht="30" customHeight="1" x14ac:dyDescent="0.3">
      <c r="A624" s="228"/>
      <c r="B624" s="47"/>
      <c r="C624" s="382" t="s">
        <v>521</v>
      </c>
      <c r="D624" s="11" t="s">
        <v>96</v>
      </c>
      <c r="E624" s="2" t="s">
        <v>522</v>
      </c>
      <c r="F624" s="379"/>
      <c r="G624" s="382" t="s">
        <v>523</v>
      </c>
      <c r="H624" s="11">
        <f>D626</f>
        <v>0.7</v>
      </c>
      <c r="I624" s="2" t="s">
        <v>524</v>
      </c>
      <c r="J624" s="379"/>
      <c r="K624" s="431" t="s">
        <v>604</v>
      </c>
      <c r="L624" s="385">
        <f>IF(L623/5/1000&lt;23.9,23.9,L623/5/1000)</f>
        <v>23.9</v>
      </c>
      <c r="M624" s="133" t="s">
        <v>525</v>
      </c>
      <c r="N624" s="381"/>
      <c r="O624" s="346"/>
      <c r="P624"/>
      <c r="Q624"/>
      <c r="T624"/>
    </row>
    <row r="625" spans="1:20" ht="30" customHeight="1" x14ac:dyDescent="0.3">
      <c r="A625" s="228"/>
      <c r="B625" s="47"/>
      <c r="C625" s="382" t="s">
        <v>526</v>
      </c>
      <c r="D625" s="11">
        <f>D639</f>
        <v>172</v>
      </c>
      <c r="E625" s="2" t="s">
        <v>527</v>
      </c>
      <c r="F625" s="379"/>
      <c r="G625" s="382" t="s">
        <v>528</v>
      </c>
      <c r="H625" s="11">
        <f>D628</f>
        <v>70</v>
      </c>
      <c r="I625" s="2" t="s">
        <v>518</v>
      </c>
      <c r="J625" s="379"/>
      <c r="K625" s="382" t="s">
        <v>601</v>
      </c>
      <c r="L625" s="11">
        <f>L623/5/1000</f>
        <v>4.3343999999999996</v>
      </c>
      <c r="M625" s="387"/>
      <c r="N625" s="381"/>
      <c r="O625" s="346"/>
      <c r="P625"/>
      <c r="Q625"/>
      <c r="T625"/>
    </row>
    <row r="626" spans="1:20" ht="30" customHeight="1" x14ac:dyDescent="0.3">
      <c r="A626" s="228"/>
      <c r="B626" s="47"/>
      <c r="C626" s="382" t="s">
        <v>529</v>
      </c>
      <c r="D626" s="11">
        <v>0.7</v>
      </c>
      <c r="E626" s="2" t="s">
        <v>524</v>
      </c>
      <c r="F626" s="379"/>
      <c r="G626" s="382" t="s">
        <v>530</v>
      </c>
      <c r="H626" s="11">
        <f>D629</f>
        <v>40</v>
      </c>
      <c r="I626" s="2" t="s">
        <v>518</v>
      </c>
      <c r="J626" s="379"/>
      <c r="K626" s="455"/>
      <c r="L626" s="464"/>
      <c r="M626" s="464"/>
      <c r="N626" s="381"/>
      <c r="O626" s="346"/>
      <c r="P626"/>
      <c r="Q626"/>
      <c r="T626"/>
    </row>
    <row r="627" spans="1:20" ht="30" customHeight="1" x14ac:dyDescent="0.3">
      <c r="A627" s="228"/>
      <c r="B627" s="47"/>
      <c r="C627" s="382" t="s">
        <v>531</v>
      </c>
      <c r="D627" s="383" t="s">
        <v>96</v>
      </c>
      <c r="E627" s="2" t="s">
        <v>532</v>
      </c>
      <c r="F627" s="379"/>
      <c r="G627" s="382" t="s">
        <v>533</v>
      </c>
      <c r="H627" s="2">
        <f>D630</f>
        <v>21</v>
      </c>
      <c r="I627" s="2" t="s">
        <v>534</v>
      </c>
      <c r="J627" s="379"/>
      <c r="K627" s="464"/>
      <c r="L627" s="464"/>
      <c r="M627" s="464"/>
      <c r="N627" s="381"/>
      <c r="O627" s="346"/>
      <c r="P627"/>
      <c r="Q627"/>
      <c r="T627"/>
    </row>
    <row r="628" spans="1:20" ht="30" customHeight="1" x14ac:dyDescent="0.3">
      <c r="A628" s="228"/>
      <c r="B628" s="47"/>
      <c r="C628" s="382" t="s">
        <v>535</v>
      </c>
      <c r="D628" s="11">
        <v>70</v>
      </c>
      <c r="E628" s="2" t="s">
        <v>518</v>
      </c>
      <c r="F628" s="379"/>
      <c r="G628" s="382" t="s">
        <v>536</v>
      </c>
      <c r="H628" s="2">
        <v>200</v>
      </c>
      <c r="I628" s="21" t="s">
        <v>537</v>
      </c>
      <c r="J628" s="379"/>
      <c r="K628" s="379"/>
      <c r="L628" s="375"/>
      <c r="M628" s="379"/>
      <c r="N628" s="381"/>
      <c r="O628" s="346"/>
      <c r="P628"/>
      <c r="Q628"/>
      <c r="T628"/>
    </row>
    <row r="629" spans="1:20" ht="30" customHeight="1" x14ac:dyDescent="0.3">
      <c r="A629" s="228"/>
      <c r="B629" s="47"/>
      <c r="C629" s="382" t="s">
        <v>538</v>
      </c>
      <c r="D629" s="11">
        <v>40</v>
      </c>
      <c r="E629" s="2" t="s">
        <v>518</v>
      </c>
      <c r="F629" s="379"/>
      <c r="G629" s="2"/>
      <c r="H629" s="21"/>
      <c r="I629" s="21"/>
      <c r="J629" s="379"/>
      <c r="K629" s="379"/>
      <c r="L629" s="375"/>
      <c r="M629" s="379"/>
      <c r="N629" s="381"/>
      <c r="O629" s="346"/>
      <c r="P629"/>
      <c r="Q629"/>
      <c r="T629"/>
    </row>
    <row r="630" spans="1:20" ht="30" customHeight="1" x14ac:dyDescent="0.3">
      <c r="A630" s="228"/>
      <c r="B630" s="47"/>
      <c r="C630" s="382" t="s">
        <v>539</v>
      </c>
      <c r="D630" s="2">
        <v>21</v>
      </c>
      <c r="E630" s="378" t="s">
        <v>534</v>
      </c>
      <c r="F630" s="379"/>
      <c r="G630" s="389" t="s">
        <v>540</v>
      </c>
      <c r="H630" s="390">
        <f>((D625*D626)/(H627*H628))*(LN((H625-H623)/(H626-H623)))</f>
        <v>4.4666812384001095E-2</v>
      </c>
      <c r="I630" s="389" t="s">
        <v>541</v>
      </c>
      <c r="J630" s="379"/>
      <c r="K630" s="388"/>
      <c r="L630" s="391"/>
      <c r="M630" s="388"/>
      <c r="N630" s="381"/>
      <c r="O630" s="346"/>
      <c r="P630"/>
      <c r="Q630"/>
      <c r="T630"/>
    </row>
    <row r="631" spans="1:20" ht="30" customHeight="1" x14ac:dyDescent="0.3">
      <c r="A631" s="228"/>
      <c r="B631" s="47"/>
      <c r="C631" s="392" t="s">
        <v>573</v>
      </c>
      <c r="D631" s="393">
        <f>D625*D626*(D628-D629)</f>
        <v>3611.9999999999995</v>
      </c>
      <c r="E631" s="389" t="s">
        <v>543</v>
      </c>
      <c r="F631" s="379"/>
      <c r="G631" s="670" t="s">
        <v>544</v>
      </c>
      <c r="H631" s="671"/>
      <c r="I631" s="672"/>
      <c r="J631" s="379"/>
      <c r="K631" s="388"/>
      <c r="L631" s="397"/>
      <c r="M631" s="388"/>
      <c r="N631" s="381"/>
      <c r="O631" s="346"/>
      <c r="P631"/>
      <c r="Q631"/>
      <c r="T631"/>
    </row>
    <row r="632" spans="1:20" ht="30" customHeight="1" x14ac:dyDescent="0.3">
      <c r="A632" s="228"/>
      <c r="B632" s="47"/>
      <c r="C632"/>
      <c r="D632"/>
      <c r="E632"/>
      <c r="F632" s="420"/>
      <c r="G632" s="398" t="s">
        <v>545</v>
      </c>
      <c r="H632" s="399">
        <v>10</v>
      </c>
      <c r="I632" s="400" t="s">
        <v>546</v>
      </c>
      <c r="J632" s="420"/>
      <c r="K632" s="420"/>
      <c r="L632" s="420"/>
      <c r="M632" s="420"/>
      <c r="N632" s="376"/>
      <c r="O632" s="346"/>
      <c r="P632"/>
      <c r="Q632"/>
      <c r="T632"/>
    </row>
    <row r="633" spans="1:20" ht="30" customHeight="1" x14ac:dyDescent="0.3">
      <c r="A633" s="228"/>
      <c r="B633" s="47"/>
      <c r="C633"/>
      <c r="D633"/>
      <c r="E633"/>
      <c r="F633" s="420"/>
      <c r="G633" s="398" t="s">
        <v>545</v>
      </c>
      <c r="H633" s="404">
        <f>H632/60</f>
        <v>0.16666666666666666</v>
      </c>
      <c r="I633" s="400" t="s">
        <v>541</v>
      </c>
      <c r="J633" s="420"/>
      <c r="K633" s="420"/>
      <c r="L633" s="420"/>
      <c r="M633" s="420"/>
      <c r="N633" s="376"/>
      <c r="O633" s="346"/>
      <c r="P633"/>
      <c r="Q633"/>
      <c r="T633"/>
    </row>
    <row r="634" spans="1:20" ht="28.5" customHeight="1" x14ac:dyDescent="0.3">
      <c r="A634" s="228"/>
      <c r="B634" s="47"/>
      <c r="N634" s="376"/>
      <c r="O634" s="229"/>
      <c r="P634"/>
      <c r="Q634"/>
      <c r="T634"/>
    </row>
    <row r="635" spans="1:20" ht="28.5" customHeight="1" x14ac:dyDescent="0.3">
      <c r="A635" s="228"/>
      <c r="B635" s="47"/>
      <c r="C635" s="673" t="s">
        <v>512</v>
      </c>
      <c r="D635" s="674"/>
      <c r="E635" s="675"/>
      <c r="F635" s="375"/>
      <c r="G635" s="673" t="s">
        <v>513</v>
      </c>
      <c r="H635" s="674"/>
      <c r="I635" s="675"/>
      <c r="J635" s="375"/>
      <c r="K635" s="673" t="s">
        <v>514</v>
      </c>
      <c r="L635" s="674"/>
      <c r="M635" s="675"/>
      <c r="N635" s="381"/>
      <c r="O635" s="229"/>
      <c r="P635"/>
      <c r="Q635"/>
      <c r="T635"/>
    </row>
    <row r="636" spans="1:20" ht="28.5" customHeight="1" x14ac:dyDescent="0.3">
      <c r="A636" s="228"/>
      <c r="B636" s="47"/>
      <c r="C636" s="377"/>
      <c r="D636" s="11"/>
      <c r="E636" s="378"/>
      <c r="F636" s="379"/>
      <c r="G636" s="380"/>
      <c r="H636" s="380"/>
      <c r="I636" s="380"/>
      <c r="J636" s="379"/>
      <c r="K636" s="378"/>
      <c r="L636" s="2"/>
      <c r="M636" s="378"/>
      <c r="N636" s="381"/>
      <c r="O636" s="229"/>
      <c r="P636"/>
      <c r="Q636"/>
      <c r="T636"/>
    </row>
    <row r="637" spans="1:20" ht="38.549999999999997" customHeight="1" x14ac:dyDescent="0.3">
      <c r="A637" s="228"/>
      <c r="B637" s="47"/>
      <c r="C637" s="382" t="s">
        <v>515</v>
      </c>
      <c r="D637" s="383">
        <f>D619</f>
        <v>10</v>
      </c>
      <c r="E637" s="2" t="s">
        <v>516</v>
      </c>
      <c r="F637" s="379"/>
      <c r="G637" s="382" t="s">
        <v>517</v>
      </c>
      <c r="H637" s="3">
        <v>7</v>
      </c>
      <c r="I637" s="2" t="s">
        <v>518</v>
      </c>
      <c r="J637" s="379"/>
      <c r="K637" s="21" t="s">
        <v>519</v>
      </c>
      <c r="L637" s="163">
        <f>D645/H647</f>
        <v>18060</v>
      </c>
      <c r="M637" s="2" t="s">
        <v>520</v>
      </c>
      <c r="N637" s="381"/>
      <c r="O637" s="229"/>
      <c r="P637"/>
      <c r="Q637"/>
      <c r="T637"/>
    </row>
    <row r="638" spans="1:20" ht="28.5" customHeight="1" x14ac:dyDescent="0.3">
      <c r="A638" s="228"/>
      <c r="B638" s="47"/>
      <c r="C638" s="382" t="s">
        <v>521</v>
      </c>
      <c r="D638" s="11" t="s">
        <v>96</v>
      </c>
      <c r="E638" s="2" t="s">
        <v>522</v>
      </c>
      <c r="F638" s="379"/>
      <c r="G638" s="382" t="s">
        <v>523</v>
      </c>
      <c r="H638" s="11">
        <f>D640</f>
        <v>0.7</v>
      </c>
      <c r="I638" s="2" t="s">
        <v>524</v>
      </c>
      <c r="J638" s="379"/>
      <c r="K638" s="431" t="s">
        <v>604</v>
      </c>
      <c r="L638" s="385">
        <f>IF(L637/5/1000&lt;23.9,23.9,L637/5/1000)</f>
        <v>23.9</v>
      </c>
      <c r="M638" s="349" t="s">
        <v>525</v>
      </c>
      <c r="N638" s="381"/>
      <c r="O638" s="229"/>
      <c r="P638"/>
      <c r="Q638"/>
      <c r="T638"/>
    </row>
    <row r="639" spans="1:20" ht="28.5" customHeight="1" x14ac:dyDescent="0.3">
      <c r="A639" s="228"/>
      <c r="B639" s="47"/>
      <c r="C639" s="382" t="s">
        <v>526</v>
      </c>
      <c r="D639" s="11">
        <f>D653</f>
        <v>172</v>
      </c>
      <c r="E639" s="2" t="s">
        <v>527</v>
      </c>
      <c r="F639" s="379"/>
      <c r="G639" s="382" t="s">
        <v>528</v>
      </c>
      <c r="H639" s="11">
        <f>D642</f>
        <v>40</v>
      </c>
      <c r="I639" s="2" t="s">
        <v>518</v>
      </c>
      <c r="J639" s="379"/>
      <c r="K639" s="382" t="s">
        <v>601</v>
      </c>
      <c r="L639" s="11">
        <f>L637/5/1000</f>
        <v>3.6120000000000001</v>
      </c>
      <c r="M639" s="388"/>
      <c r="N639" s="381"/>
      <c r="O639" s="229"/>
      <c r="P639"/>
      <c r="Q639"/>
      <c r="T639"/>
    </row>
    <row r="640" spans="1:20" ht="28.5" customHeight="1" x14ac:dyDescent="0.3">
      <c r="A640" s="228"/>
      <c r="B640" s="47"/>
      <c r="C640" s="382" t="s">
        <v>529</v>
      </c>
      <c r="D640" s="11">
        <v>0.7</v>
      </c>
      <c r="E640" s="2" t="s">
        <v>524</v>
      </c>
      <c r="F640" s="379"/>
      <c r="G640" s="382" t="s">
        <v>530</v>
      </c>
      <c r="H640" s="11">
        <f>D643</f>
        <v>15</v>
      </c>
      <c r="I640" s="2" t="s">
        <v>518</v>
      </c>
      <c r="J640" s="379"/>
      <c r="K640" s="455"/>
      <c r="L640" s="455"/>
      <c r="M640" s="455"/>
      <c r="N640" s="381"/>
      <c r="O640" s="229"/>
      <c r="P640"/>
      <c r="Q640"/>
      <c r="T640"/>
    </row>
    <row r="641" spans="1:20" ht="28.5" customHeight="1" x14ac:dyDescent="0.3">
      <c r="A641" s="228"/>
      <c r="B641" s="47"/>
      <c r="C641" s="382" t="s">
        <v>531</v>
      </c>
      <c r="D641" s="383" t="s">
        <v>96</v>
      </c>
      <c r="E641" s="2" t="s">
        <v>532</v>
      </c>
      <c r="F641" s="379"/>
      <c r="G641" s="382" t="s">
        <v>533</v>
      </c>
      <c r="H641" s="2">
        <f>D644</f>
        <v>21</v>
      </c>
      <c r="I641" s="2" t="s">
        <v>534</v>
      </c>
      <c r="J641" s="379"/>
      <c r="K641" s="455"/>
      <c r="L641" s="455"/>
      <c r="M641" s="455"/>
      <c r="N641" s="381"/>
      <c r="O641" s="229"/>
      <c r="P641"/>
      <c r="Q641"/>
      <c r="T641"/>
    </row>
    <row r="642" spans="1:20" ht="28.5" customHeight="1" x14ac:dyDescent="0.3">
      <c r="A642" s="228"/>
      <c r="B642" s="47"/>
      <c r="C642" s="382" t="s">
        <v>535</v>
      </c>
      <c r="D642" s="11">
        <v>40</v>
      </c>
      <c r="E642" s="2" t="s">
        <v>518</v>
      </c>
      <c r="F642" s="379"/>
      <c r="G642" s="382" t="s">
        <v>536</v>
      </c>
      <c r="H642" s="2">
        <v>250</v>
      </c>
      <c r="I642" s="21" t="s">
        <v>537</v>
      </c>
      <c r="J642" s="379"/>
      <c r="K642" s="379"/>
      <c r="L642" s="375"/>
      <c r="M642" s="379"/>
      <c r="N642" s="381"/>
      <c r="O642" s="229"/>
      <c r="P642"/>
      <c r="Q642"/>
      <c r="T642"/>
    </row>
    <row r="643" spans="1:20" ht="28.5" customHeight="1" x14ac:dyDescent="0.3">
      <c r="A643" s="228"/>
      <c r="B643" s="47"/>
      <c r="C643" s="382" t="s">
        <v>538</v>
      </c>
      <c r="D643" s="11">
        <v>15</v>
      </c>
      <c r="E643" s="2" t="s">
        <v>518</v>
      </c>
      <c r="F643" s="379"/>
      <c r="G643" s="2"/>
      <c r="H643" s="21"/>
      <c r="I643" s="21"/>
      <c r="J643" s="379"/>
      <c r="K643" s="379"/>
      <c r="L643" s="375"/>
      <c r="M643" s="379"/>
      <c r="N643" s="381"/>
      <c r="O643" s="229"/>
      <c r="P643"/>
      <c r="Q643"/>
      <c r="T643"/>
    </row>
    <row r="644" spans="1:20" ht="28.5" customHeight="1" x14ac:dyDescent="0.3">
      <c r="A644" s="228"/>
      <c r="B644" s="47"/>
      <c r="C644" s="382" t="s">
        <v>539</v>
      </c>
      <c r="D644" s="2">
        <v>21</v>
      </c>
      <c r="E644" s="378" t="s">
        <v>534</v>
      </c>
      <c r="F644" s="379"/>
      <c r="G644" s="389" t="s">
        <v>540</v>
      </c>
      <c r="H644" s="390">
        <f>((D639*D640)/(H641*H642))*(LN((H639-H637)/(H640-H637)))</f>
        <v>3.2498047387107043E-2</v>
      </c>
      <c r="I644" s="389" t="s">
        <v>541</v>
      </c>
      <c r="J644" s="379"/>
      <c r="K644" s="388"/>
      <c r="L644" s="391"/>
      <c r="M644" s="388"/>
      <c r="N644" s="381"/>
      <c r="O644" s="229"/>
      <c r="P644"/>
      <c r="Q644"/>
      <c r="T644"/>
    </row>
    <row r="645" spans="1:20" ht="28.5" customHeight="1" x14ac:dyDescent="0.3">
      <c r="A645" s="228"/>
      <c r="B645" s="47"/>
      <c r="C645" s="392" t="s">
        <v>542</v>
      </c>
      <c r="D645" s="393">
        <f>D639*D640*(D642-D643)</f>
        <v>3010</v>
      </c>
      <c r="E645" s="389" t="s">
        <v>543</v>
      </c>
      <c r="F645" s="379"/>
      <c r="G645" s="670" t="s">
        <v>544</v>
      </c>
      <c r="H645" s="671"/>
      <c r="I645" s="672"/>
      <c r="J645" s="379"/>
      <c r="K645" s="388"/>
      <c r="L645" s="397"/>
      <c r="M645" s="388"/>
      <c r="N645" s="381"/>
      <c r="O645" s="229"/>
      <c r="P645"/>
      <c r="Q645"/>
      <c r="T645"/>
    </row>
    <row r="646" spans="1:20" ht="28.5" customHeight="1" x14ac:dyDescent="0.3">
      <c r="A646" s="228"/>
      <c r="B646" s="47"/>
      <c r="C646" s="379"/>
      <c r="D646" s="375"/>
      <c r="E646" s="379"/>
      <c r="F646" s="379"/>
      <c r="G646" s="398" t="s">
        <v>545</v>
      </c>
      <c r="H646" s="399">
        <v>10</v>
      </c>
      <c r="I646" s="400" t="s">
        <v>546</v>
      </c>
      <c r="J646" s="379"/>
      <c r="K646" s="388"/>
      <c r="L646" s="401"/>
      <c r="M646" s="401"/>
      <c r="N646" s="381"/>
      <c r="O646" s="229"/>
      <c r="P646"/>
      <c r="Q646"/>
      <c r="T646"/>
    </row>
    <row r="647" spans="1:20" ht="30" customHeight="1" x14ac:dyDescent="0.3">
      <c r="A647" s="228"/>
      <c r="B647" s="47"/>
      <c r="C647" s="379"/>
      <c r="D647" s="375"/>
      <c r="E647" s="379"/>
      <c r="F647" s="379"/>
      <c r="G647" s="398" t="s">
        <v>545</v>
      </c>
      <c r="H647" s="404">
        <f>H646/60</f>
        <v>0.16666666666666666</v>
      </c>
      <c r="I647" s="400" t="s">
        <v>541</v>
      </c>
      <c r="J647" s="379"/>
      <c r="K647" s="388"/>
      <c r="L647" s="401"/>
      <c r="M647" s="401"/>
      <c r="N647" s="376"/>
      <c r="O647" s="346"/>
      <c r="P647"/>
      <c r="Q647"/>
      <c r="T647"/>
    </row>
    <row r="648" spans="1:20" ht="30" customHeight="1" x14ac:dyDescent="0.3">
      <c r="A648" s="228"/>
      <c r="B648" s="47"/>
      <c r="C648" s="379"/>
      <c r="D648" s="375"/>
      <c r="E648" s="379"/>
      <c r="F648" s="379"/>
      <c r="G648" s="475"/>
      <c r="H648" s="472"/>
      <c r="I648" s="396"/>
      <c r="J648" s="379"/>
      <c r="K648" s="388"/>
      <c r="L648" s="401"/>
      <c r="M648" s="401"/>
      <c r="N648" s="376"/>
      <c r="O648" s="346"/>
      <c r="P648"/>
      <c r="Q648"/>
      <c r="T648"/>
    </row>
    <row r="649" spans="1:20" ht="28.5" customHeight="1" x14ac:dyDescent="0.3">
      <c r="A649" s="228"/>
      <c r="B649" s="47"/>
      <c r="C649" s="673" t="s">
        <v>549</v>
      </c>
      <c r="D649" s="674"/>
      <c r="E649" s="675"/>
      <c r="F649" s="375"/>
      <c r="G649" s="673" t="s">
        <v>550</v>
      </c>
      <c r="H649" s="674"/>
      <c r="I649" s="675"/>
      <c r="J649" s="375"/>
      <c r="K649" s="673" t="s">
        <v>551</v>
      </c>
      <c r="L649" s="674"/>
      <c r="M649" s="675"/>
      <c r="N649" s="376"/>
      <c r="O649" s="229"/>
      <c r="P649"/>
      <c r="Q649"/>
      <c r="T649"/>
    </row>
    <row r="650" spans="1:20" ht="28.5" customHeight="1" x14ac:dyDescent="0.3">
      <c r="A650" s="228"/>
      <c r="B650" s="47"/>
      <c r="C650" s="377"/>
      <c r="D650" s="11"/>
      <c r="E650" s="378"/>
      <c r="F650" s="379"/>
      <c r="G650" s="380"/>
      <c r="H650" s="380"/>
      <c r="I650" s="380"/>
      <c r="J650" s="379"/>
      <c r="K650" s="378"/>
      <c r="L650" s="2"/>
      <c r="M650" s="378"/>
      <c r="N650" s="381"/>
      <c r="O650" s="229"/>
      <c r="P650"/>
      <c r="Q650"/>
      <c r="T650"/>
    </row>
    <row r="651" spans="1:20" ht="28.5" customHeight="1" x14ac:dyDescent="0.3">
      <c r="A651" s="228"/>
      <c r="B651" s="47"/>
      <c r="C651" s="382" t="s">
        <v>515</v>
      </c>
      <c r="D651" s="383">
        <f>D619</f>
        <v>10</v>
      </c>
      <c r="E651" s="2" t="s">
        <v>516</v>
      </c>
      <c r="F651" s="379"/>
      <c r="G651" s="382" t="s">
        <v>517</v>
      </c>
      <c r="H651" s="408">
        <v>-15</v>
      </c>
      <c r="I651" s="2" t="s">
        <v>518</v>
      </c>
      <c r="J651" s="379"/>
      <c r="K651" s="21" t="s">
        <v>519</v>
      </c>
      <c r="L651" s="163">
        <f>D659/H661</f>
        <v>18060</v>
      </c>
      <c r="M651" s="2" t="s">
        <v>520</v>
      </c>
      <c r="N651" s="381"/>
      <c r="O651" s="229"/>
      <c r="P651"/>
      <c r="Q651"/>
      <c r="T651"/>
    </row>
    <row r="652" spans="1:20" ht="38.549999999999997" customHeight="1" x14ac:dyDescent="0.3">
      <c r="A652" s="228"/>
      <c r="B652" s="47"/>
      <c r="C652" s="382" t="s">
        <v>521</v>
      </c>
      <c r="D652" s="11" t="s">
        <v>96</v>
      </c>
      <c r="E652" s="2" t="s">
        <v>522</v>
      </c>
      <c r="F652" s="379"/>
      <c r="G652" s="382" t="s">
        <v>523</v>
      </c>
      <c r="H652" s="11">
        <f>D654</f>
        <v>0.7</v>
      </c>
      <c r="I652" s="2" t="s">
        <v>524</v>
      </c>
      <c r="J652" s="379"/>
      <c r="K652" s="431" t="s">
        <v>604</v>
      </c>
      <c r="L652" s="385">
        <f>IF(L651/5/1000&lt;23.9,23.9,L651/5/1000)</f>
        <v>23.9</v>
      </c>
      <c r="M652" s="133" t="s">
        <v>525</v>
      </c>
      <c r="N652" s="381"/>
      <c r="O652" s="229"/>
      <c r="P652"/>
      <c r="Q652"/>
      <c r="T652"/>
    </row>
    <row r="653" spans="1:20" ht="28.5" customHeight="1" x14ac:dyDescent="0.3">
      <c r="A653" s="228"/>
      <c r="B653" s="47"/>
      <c r="C653" s="382" t="s">
        <v>526</v>
      </c>
      <c r="D653" s="383">
        <f>xx!I89</f>
        <v>172</v>
      </c>
      <c r="E653" s="2" t="s">
        <v>527</v>
      </c>
      <c r="F653" s="379"/>
      <c r="G653" s="382" t="s">
        <v>528</v>
      </c>
      <c r="H653" s="11">
        <f>D656</f>
        <v>15</v>
      </c>
      <c r="I653" s="2" t="s">
        <v>518</v>
      </c>
      <c r="J653" s="379"/>
      <c r="K653" s="382" t="s">
        <v>601</v>
      </c>
      <c r="L653" s="11">
        <f>L651/5/1000</f>
        <v>3.6120000000000001</v>
      </c>
      <c r="M653" s="387"/>
      <c r="N653" s="381"/>
      <c r="O653" s="229"/>
      <c r="P653"/>
      <c r="Q653"/>
      <c r="T653"/>
    </row>
    <row r="654" spans="1:20" ht="28.5" customHeight="1" x14ac:dyDescent="0.3">
      <c r="A654" s="228"/>
      <c r="B654" s="47"/>
      <c r="C654" s="382" t="s">
        <v>529</v>
      </c>
      <c r="D654" s="11">
        <v>0.7</v>
      </c>
      <c r="E654" s="2" t="s">
        <v>524</v>
      </c>
      <c r="F654" s="379"/>
      <c r="G654" s="382" t="s">
        <v>530</v>
      </c>
      <c r="H654" s="11">
        <f>D657</f>
        <v>-10</v>
      </c>
      <c r="I654" s="2" t="s">
        <v>518</v>
      </c>
      <c r="J654" s="379"/>
      <c r="K654" s="455"/>
      <c r="L654" s="455"/>
      <c r="M654" s="455"/>
      <c r="N654" s="381"/>
      <c r="O654" s="229"/>
      <c r="P654"/>
      <c r="Q654"/>
      <c r="T654"/>
    </row>
    <row r="655" spans="1:20" ht="28.5" customHeight="1" x14ac:dyDescent="0.3">
      <c r="A655" s="228"/>
      <c r="B655" s="47"/>
      <c r="C655" s="382" t="s">
        <v>531</v>
      </c>
      <c r="D655" s="383" t="s">
        <v>96</v>
      </c>
      <c r="E655" s="2" t="s">
        <v>532</v>
      </c>
      <c r="F655" s="379"/>
      <c r="G655" s="382" t="s">
        <v>533</v>
      </c>
      <c r="H655" s="2">
        <f>D658</f>
        <v>21</v>
      </c>
      <c r="I655" s="2" t="s">
        <v>534</v>
      </c>
      <c r="J655" s="379"/>
      <c r="K655" s="455"/>
      <c r="L655" s="455"/>
      <c r="M655" s="455"/>
      <c r="N655" s="381"/>
      <c r="O655" s="229"/>
      <c r="P655"/>
      <c r="Q655"/>
      <c r="T655"/>
    </row>
    <row r="656" spans="1:20" ht="28.5" customHeight="1" x14ac:dyDescent="0.3">
      <c r="A656" s="228"/>
      <c r="B656" s="47"/>
      <c r="C656" s="382" t="s">
        <v>535</v>
      </c>
      <c r="D656" s="11">
        <v>15</v>
      </c>
      <c r="E656" s="2" t="s">
        <v>518</v>
      </c>
      <c r="F656" s="379"/>
      <c r="G656" s="382" t="s">
        <v>536</v>
      </c>
      <c r="H656" s="2">
        <v>150</v>
      </c>
      <c r="I656" s="21" t="s">
        <v>537</v>
      </c>
      <c r="J656" s="379"/>
      <c r="K656" s="379"/>
      <c r="L656" s="375"/>
      <c r="M656" s="379"/>
      <c r="N656" s="381"/>
      <c r="O656" s="229"/>
      <c r="P656"/>
      <c r="Q656"/>
      <c r="T656"/>
    </row>
    <row r="657" spans="1:20" ht="28.5" customHeight="1" x14ac:dyDescent="0.3">
      <c r="A657" s="228"/>
      <c r="B657" s="47"/>
      <c r="C657" s="382" t="s">
        <v>538</v>
      </c>
      <c r="D657" s="408">
        <v>-10</v>
      </c>
      <c r="E657" s="2" t="s">
        <v>518</v>
      </c>
      <c r="F657" s="379"/>
      <c r="G657" s="2"/>
      <c r="H657" s="21"/>
      <c r="I657" s="21"/>
      <c r="J657" s="379"/>
      <c r="K657" s="379"/>
      <c r="L657" s="375"/>
      <c r="M657" s="379"/>
      <c r="N657" s="381"/>
      <c r="O657" s="229"/>
      <c r="P657"/>
      <c r="Q657"/>
      <c r="T657"/>
    </row>
    <row r="658" spans="1:20" ht="28.5" customHeight="1" x14ac:dyDescent="0.3">
      <c r="A658" s="228"/>
      <c r="B658" s="47"/>
      <c r="C658" s="382" t="s">
        <v>539</v>
      </c>
      <c r="D658" s="2">
        <v>21</v>
      </c>
      <c r="E658" s="2" t="s">
        <v>534</v>
      </c>
      <c r="F658" s="379"/>
      <c r="G658" s="389" t="s">
        <v>540</v>
      </c>
      <c r="H658" s="390">
        <f>((D653*D654)/(H655*H656))*(LN((H653)-(H651))/((H654)-(H651)))</f>
        <v>2.6000264428706253E-2</v>
      </c>
      <c r="I658" s="389" t="s">
        <v>541</v>
      </c>
      <c r="J658" s="379"/>
      <c r="K658" s="388"/>
      <c r="L658" s="391"/>
      <c r="M658" s="388"/>
      <c r="N658" s="381"/>
      <c r="O658" s="229"/>
      <c r="P658"/>
      <c r="Q658"/>
      <c r="T658"/>
    </row>
    <row r="659" spans="1:20" ht="28.5" customHeight="1" x14ac:dyDescent="0.3">
      <c r="A659" s="228"/>
      <c r="B659" s="47"/>
      <c r="C659" s="392" t="s">
        <v>542</v>
      </c>
      <c r="D659" s="393">
        <f>D653*D654*(D656-D657)</f>
        <v>3010</v>
      </c>
      <c r="E659" s="389" t="s">
        <v>543</v>
      </c>
      <c r="F659" s="379"/>
      <c r="G659" s="670" t="s">
        <v>544</v>
      </c>
      <c r="H659" s="671"/>
      <c r="I659" s="672"/>
      <c r="J659" s="379"/>
      <c r="K659" s="388"/>
      <c r="L659" s="397"/>
      <c r="M659" s="388"/>
      <c r="N659" s="381"/>
      <c r="O659" s="229"/>
      <c r="P659"/>
      <c r="Q659"/>
      <c r="T659"/>
    </row>
    <row r="660" spans="1:20" ht="28.5" customHeight="1" x14ac:dyDescent="0.3">
      <c r="A660" s="228"/>
      <c r="B660" s="47"/>
      <c r="C660" s="409"/>
      <c r="D660" s="410"/>
      <c r="E660" s="411"/>
      <c r="F660" s="379"/>
      <c r="G660" s="398" t="s">
        <v>545</v>
      </c>
      <c r="H660" s="399">
        <v>10</v>
      </c>
      <c r="I660" s="400" t="s">
        <v>546</v>
      </c>
      <c r="J660" s="379"/>
      <c r="K660" s="388"/>
      <c r="L660" s="397"/>
      <c r="M660" s="388"/>
      <c r="N660" s="381"/>
      <c r="O660" s="229"/>
      <c r="P660"/>
      <c r="Q660"/>
      <c r="T660"/>
    </row>
    <row r="661" spans="1:20" ht="28.5" customHeight="1" x14ac:dyDescent="0.3">
      <c r="A661" s="228"/>
      <c r="B661" s="47"/>
      <c r="C661" s="409"/>
      <c r="D661" s="410"/>
      <c r="E661" s="411"/>
      <c r="F661" s="379"/>
      <c r="G661" s="398" t="s">
        <v>545</v>
      </c>
      <c r="H661" s="404">
        <f>H660/60</f>
        <v>0.16666666666666666</v>
      </c>
      <c r="I661" s="400" t="s">
        <v>541</v>
      </c>
      <c r="J661" s="379"/>
      <c r="K661" s="388"/>
      <c r="L661" s="397"/>
      <c r="M661" s="388"/>
      <c r="N661" s="381"/>
      <c r="O661" s="229"/>
      <c r="P661"/>
      <c r="Q661"/>
      <c r="T661"/>
    </row>
    <row r="662" spans="1:20" ht="28.5" customHeight="1" thickBot="1" x14ac:dyDescent="0.35">
      <c r="A662" s="228"/>
      <c r="B662" s="402"/>
      <c r="C662" s="403"/>
      <c r="D662" s="403"/>
      <c r="E662" s="403"/>
      <c r="F662" s="403"/>
      <c r="G662" s="403"/>
      <c r="H662" s="403"/>
      <c r="I662" s="403"/>
      <c r="J662" s="403"/>
      <c r="K662" s="403"/>
      <c r="L662" s="405"/>
      <c r="M662" s="403"/>
      <c r="N662" s="406"/>
      <c r="O662" s="229"/>
      <c r="P662"/>
      <c r="Q662"/>
      <c r="T662"/>
    </row>
    <row r="663" spans="1:20" ht="43.5" customHeight="1" thickBot="1" x14ac:dyDescent="0.35">
      <c r="A663" s="228"/>
      <c r="B663" s="713" t="s">
        <v>585</v>
      </c>
      <c r="C663" s="714"/>
      <c r="D663" s="714"/>
      <c r="E663" s="714"/>
      <c r="F663" s="714"/>
      <c r="G663" s="714"/>
      <c r="H663" s="714"/>
      <c r="I663" s="714"/>
      <c r="J663" s="714"/>
      <c r="K663" s="714"/>
      <c r="L663" s="714"/>
      <c r="M663" s="714"/>
      <c r="N663" s="715"/>
      <c r="O663" s="229"/>
      <c r="P663"/>
      <c r="Q663"/>
      <c r="T663"/>
    </row>
    <row r="664" spans="1:20" ht="62.55" customHeight="1" x14ac:dyDescent="0.3">
      <c r="A664" s="228"/>
      <c r="B664" s="365" t="s">
        <v>498</v>
      </c>
      <c r="C664" s="366" t="s">
        <v>499</v>
      </c>
      <c r="D664" s="366" t="s">
        <v>500</v>
      </c>
      <c r="E664" s="366" t="s">
        <v>501</v>
      </c>
      <c r="F664" s="366" t="s">
        <v>502</v>
      </c>
      <c r="G664" s="366" t="s">
        <v>503</v>
      </c>
      <c r="H664" s="366" t="s">
        <v>504</v>
      </c>
      <c r="I664" s="366" t="s">
        <v>505</v>
      </c>
      <c r="J664" s="366" t="s">
        <v>506</v>
      </c>
      <c r="K664" s="366" t="s">
        <v>507</v>
      </c>
      <c r="L664" s="366" t="s">
        <v>508</v>
      </c>
      <c r="M664" s="716" t="s">
        <v>509</v>
      </c>
      <c r="N664" s="717"/>
      <c r="O664" s="229"/>
      <c r="P664"/>
      <c r="Q664"/>
      <c r="T664"/>
    </row>
    <row r="665" spans="1:20" ht="31.05" customHeight="1" thickBot="1" x14ac:dyDescent="0.35">
      <c r="A665" s="228"/>
      <c r="B665" s="369" t="s">
        <v>586</v>
      </c>
      <c r="C665" s="239" t="s">
        <v>555</v>
      </c>
      <c r="D665" s="212">
        <v>10</v>
      </c>
      <c r="E665" s="212" t="s">
        <v>511</v>
      </c>
      <c r="F665" s="222" t="s">
        <v>96</v>
      </c>
      <c r="G665" s="222" t="s">
        <v>559</v>
      </c>
      <c r="H665" s="370" t="s">
        <v>96</v>
      </c>
      <c r="I665" s="212" t="s">
        <v>96</v>
      </c>
      <c r="J665" s="212" t="s">
        <v>96</v>
      </c>
      <c r="K665" s="222" t="s">
        <v>96</v>
      </c>
      <c r="L665" s="371">
        <f>H676</f>
        <v>0.18209096882450307</v>
      </c>
      <c r="M665" s="723">
        <f>L670</f>
        <v>23.9</v>
      </c>
      <c r="N665" s="724"/>
      <c r="O665" s="229"/>
      <c r="P665"/>
      <c r="Q665"/>
      <c r="T665"/>
    </row>
    <row r="666" spans="1:20" ht="27" customHeight="1" x14ac:dyDescent="0.3">
      <c r="A666" s="228"/>
      <c r="B666" s="683"/>
      <c r="C666" s="628"/>
      <c r="D666" s="628"/>
      <c r="E666" s="628"/>
      <c r="F666" s="628"/>
      <c r="G666" s="628"/>
      <c r="H666" s="628"/>
      <c r="I666" s="628"/>
      <c r="J666" s="628"/>
      <c r="K666" s="628"/>
      <c r="L666" s="628"/>
      <c r="M666" s="628"/>
      <c r="N666" s="629"/>
      <c r="O666" s="229"/>
      <c r="P666"/>
      <c r="Q666"/>
      <c r="T666"/>
    </row>
    <row r="667" spans="1:20" ht="27" customHeight="1" x14ac:dyDescent="0.3">
      <c r="A667" s="228"/>
      <c r="B667" s="47"/>
      <c r="C667" s="673" t="s">
        <v>512</v>
      </c>
      <c r="D667" s="674"/>
      <c r="E667" s="675"/>
      <c r="F667" s="375"/>
      <c r="G667" s="673" t="s">
        <v>513</v>
      </c>
      <c r="H667" s="674"/>
      <c r="I667" s="675"/>
      <c r="J667" s="375"/>
      <c r="K667" s="673" t="s">
        <v>514</v>
      </c>
      <c r="L667" s="674"/>
      <c r="M667" s="675"/>
      <c r="N667" s="376"/>
      <c r="O667" s="229"/>
      <c r="P667"/>
      <c r="Q667"/>
      <c r="T667"/>
    </row>
    <row r="668" spans="1:20" ht="27" customHeight="1" x14ac:dyDescent="0.3">
      <c r="A668" s="228"/>
      <c r="B668" s="47"/>
      <c r="C668" s="377"/>
      <c r="D668" s="11"/>
      <c r="E668" s="378"/>
      <c r="F668" s="379"/>
      <c r="G668" s="380"/>
      <c r="H668" s="380"/>
      <c r="I668" s="380"/>
      <c r="J668" s="379"/>
      <c r="K668" s="378"/>
      <c r="L668" s="2"/>
      <c r="M668" s="378"/>
      <c r="N668" s="381"/>
      <c r="O668" s="229"/>
      <c r="P668"/>
      <c r="Q668"/>
      <c r="T668"/>
    </row>
    <row r="669" spans="1:20" ht="27" customHeight="1" x14ac:dyDescent="0.3">
      <c r="A669" s="228"/>
      <c r="B669" s="47"/>
      <c r="C669" s="382" t="s">
        <v>515</v>
      </c>
      <c r="D669" s="383">
        <f>D665</f>
        <v>10</v>
      </c>
      <c r="E669" s="2" t="s">
        <v>516</v>
      </c>
      <c r="F669" s="379"/>
      <c r="G669" s="382" t="s">
        <v>517</v>
      </c>
      <c r="H669" s="3">
        <v>7</v>
      </c>
      <c r="I669" s="2" t="s">
        <v>518</v>
      </c>
      <c r="J669" s="379"/>
      <c r="K669" s="21" t="s">
        <v>519</v>
      </c>
      <c r="L669" s="163">
        <f>D677/H679</f>
        <v>40950</v>
      </c>
      <c r="M669" s="2" t="s">
        <v>520</v>
      </c>
      <c r="N669" s="381"/>
      <c r="O669" s="229"/>
      <c r="P669"/>
      <c r="Q669"/>
      <c r="T669"/>
    </row>
    <row r="670" spans="1:20" ht="39.6" customHeight="1" x14ac:dyDescent="0.3">
      <c r="A670" s="228"/>
      <c r="B670" s="47"/>
      <c r="C670" s="382" t="s">
        <v>521</v>
      </c>
      <c r="D670" s="11" t="s">
        <v>96</v>
      </c>
      <c r="E670" s="2" t="s">
        <v>522</v>
      </c>
      <c r="F670" s="379"/>
      <c r="G670" s="382" t="s">
        <v>523</v>
      </c>
      <c r="H670" s="11">
        <f>D672</f>
        <v>0.7</v>
      </c>
      <c r="I670" s="2" t="s">
        <v>524</v>
      </c>
      <c r="J670" s="379"/>
      <c r="K670" s="431" t="s">
        <v>604</v>
      </c>
      <c r="L670" s="385">
        <f>IF(L669/5/1000&lt;23.9,23.9,L669/5/1000)</f>
        <v>23.9</v>
      </c>
      <c r="M670" s="349" t="s">
        <v>525</v>
      </c>
      <c r="N670" s="381"/>
      <c r="O670" s="229"/>
      <c r="P670"/>
      <c r="Q670"/>
      <c r="T670"/>
    </row>
    <row r="671" spans="1:20" ht="27" customHeight="1" x14ac:dyDescent="0.3">
      <c r="A671" s="228"/>
      <c r="B671" s="47"/>
      <c r="C671" s="382" t="s">
        <v>526</v>
      </c>
      <c r="D671" s="11">
        <f>xx!J94</f>
        <v>3900</v>
      </c>
      <c r="E671" s="2" t="s">
        <v>527</v>
      </c>
      <c r="F671" s="379"/>
      <c r="G671" s="382" t="s">
        <v>528</v>
      </c>
      <c r="H671" s="11">
        <f>D674</f>
        <v>30</v>
      </c>
      <c r="I671" s="2" t="s">
        <v>518</v>
      </c>
      <c r="J671" s="379"/>
      <c r="K671" s="382" t="s">
        <v>601</v>
      </c>
      <c r="L671" s="11">
        <f>L669/5/1000</f>
        <v>8.19</v>
      </c>
      <c r="M671" s="388"/>
      <c r="N671" s="381"/>
      <c r="O671" s="229"/>
      <c r="P671"/>
      <c r="Q671"/>
      <c r="T671"/>
    </row>
    <row r="672" spans="1:20" ht="27" customHeight="1" x14ac:dyDescent="0.3">
      <c r="A672" s="228"/>
      <c r="B672" s="47"/>
      <c r="C672" s="382" t="s">
        <v>529</v>
      </c>
      <c r="D672" s="11">
        <v>0.7</v>
      </c>
      <c r="E672" s="2" t="s">
        <v>524</v>
      </c>
      <c r="F672" s="379"/>
      <c r="G672" s="382" t="s">
        <v>530</v>
      </c>
      <c r="H672" s="11">
        <f>D675</f>
        <v>25</v>
      </c>
      <c r="I672" s="2" t="s">
        <v>518</v>
      </c>
      <c r="J672" s="379"/>
      <c r="K672" s="455"/>
      <c r="L672" s="455"/>
      <c r="M672" s="455"/>
      <c r="N672" s="381"/>
      <c r="O672" s="229"/>
      <c r="P672"/>
      <c r="Q672"/>
      <c r="T672"/>
    </row>
    <row r="673" spans="1:20" ht="27" customHeight="1" x14ac:dyDescent="0.3">
      <c r="A673" s="228"/>
      <c r="B673" s="47"/>
      <c r="C673" s="382" t="s">
        <v>531</v>
      </c>
      <c r="D673" s="383" t="s">
        <v>96</v>
      </c>
      <c r="E673" s="2" t="s">
        <v>532</v>
      </c>
      <c r="F673" s="379"/>
      <c r="G673" s="382" t="s">
        <v>533</v>
      </c>
      <c r="H673" s="2">
        <f>D676</f>
        <v>21</v>
      </c>
      <c r="I673" s="2" t="s">
        <v>534</v>
      </c>
      <c r="J673" s="379"/>
      <c r="K673" s="455"/>
      <c r="L673" s="455"/>
      <c r="M673" s="455"/>
      <c r="N673" s="381"/>
      <c r="O673" s="229"/>
      <c r="P673"/>
      <c r="Q673"/>
      <c r="T673"/>
    </row>
    <row r="674" spans="1:20" ht="27" customHeight="1" x14ac:dyDescent="0.3">
      <c r="A674" s="228"/>
      <c r="B674" s="47"/>
      <c r="C674" s="382" t="s">
        <v>535</v>
      </c>
      <c r="D674" s="11">
        <v>30</v>
      </c>
      <c r="E674" s="2" t="s">
        <v>518</v>
      </c>
      <c r="F674" s="379"/>
      <c r="G674" s="382" t="s">
        <v>536</v>
      </c>
      <c r="H674" s="2">
        <v>175</v>
      </c>
      <c r="I674" s="21" t="s">
        <v>537</v>
      </c>
      <c r="J674" s="379"/>
      <c r="K674" s="379"/>
      <c r="L674" s="375"/>
      <c r="M674" s="379"/>
      <c r="N674" s="381"/>
      <c r="O674" s="229"/>
      <c r="P674"/>
      <c r="Q674"/>
      <c r="T674"/>
    </row>
    <row r="675" spans="1:20" ht="27" customHeight="1" x14ac:dyDescent="0.3">
      <c r="A675" s="228"/>
      <c r="B675" s="47"/>
      <c r="C675" s="382" t="s">
        <v>538</v>
      </c>
      <c r="D675" s="11">
        <v>25</v>
      </c>
      <c r="E675" s="2" t="s">
        <v>518</v>
      </c>
      <c r="F675" s="379"/>
      <c r="G675" s="2"/>
      <c r="H675" s="21"/>
      <c r="I675" s="21"/>
      <c r="J675" s="379"/>
      <c r="K675" s="379"/>
      <c r="L675" s="375"/>
      <c r="M675" s="379"/>
      <c r="N675" s="381"/>
      <c r="O675" s="229"/>
      <c r="P675"/>
      <c r="Q675"/>
      <c r="T675"/>
    </row>
    <row r="676" spans="1:20" ht="27" customHeight="1" x14ac:dyDescent="0.3">
      <c r="A676" s="228"/>
      <c r="B676" s="47"/>
      <c r="C676" s="382" t="s">
        <v>539</v>
      </c>
      <c r="D676" s="2">
        <v>21</v>
      </c>
      <c r="E676" s="2" t="s">
        <v>534</v>
      </c>
      <c r="F676" s="379"/>
      <c r="G676" s="389" t="s">
        <v>540</v>
      </c>
      <c r="H676" s="390">
        <f>((D671*D672)/(H673*H674))*(LN((H671-H669)/(H672-H669)))</f>
        <v>0.18209096882450307</v>
      </c>
      <c r="I676" s="389" t="s">
        <v>541</v>
      </c>
      <c r="J676" s="379"/>
      <c r="K676" s="388"/>
      <c r="L676" s="391"/>
      <c r="M676" s="388"/>
      <c r="N676" s="381"/>
      <c r="O676" s="229"/>
      <c r="P676"/>
      <c r="Q676"/>
      <c r="T676"/>
    </row>
    <row r="677" spans="1:20" ht="27" customHeight="1" x14ac:dyDescent="0.3">
      <c r="A677" s="228"/>
      <c r="B677" s="47"/>
      <c r="C677" s="392" t="s">
        <v>542</v>
      </c>
      <c r="D677" s="393">
        <f>D671*D672*(D674-D675)</f>
        <v>13650</v>
      </c>
      <c r="E677" s="389" t="s">
        <v>543</v>
      </c>
      <c r="F677" s="379"/>
      <c r="G677" s="670" t="s">
        <v>544</v>
      </c>
      <c r="H677" s="671"/>
      <c r="I677" s="672"/>
      <c r="J677" s="379"/>
      <c r="K677" s="388"/>
      <c r="L677" s="397"/>
      <c r="M677" s="388"/>
      <c r="N677" s="381"/>
      <c r="O677" s="229"/>
      <c r="P677"/>
      <c r="Q677"/>
      <c r="T677"/>
    </row>
    <row r="678" spans="1:20" ht="27" customHeight="1" x14ac:dyDescent="0.3">
      <c r="A678" s="228"/>
      <c r="B678" s="47"/>
      <c r="C678" s="379"/>
      <c r="D678" s="375"/>
      <c r="E678" s="379"/>
      <c r="F678" s="379"/>
      <c r="G678" s="398" t="s">
        <v>545</v>
      </c>
      <c r="H678" s="399">
        <v>20</v>
      </c>
      <c r="I678" s="400" t="s">
        <v>546</v>
      </c>
      <c r="J678" s="379"/>
      <c r="K678" s="388"/>
      <c r="L678" s="401"/>
      <c r="M678" s="401"/>
      <c r="N678" s="381"/>
      <c r="O678" s="229"/>
      <c r="P678"/>
      <c r="Q678"/>
      <c r="T678"/>
    </row>
    <row r="679" spans="1:20" ht="27" customHeight="1" x14ac:dyDescent="0.3">
      <c r="A679" s="228"/>
      <c r="B679" s="47"/>
      <c r="C679" s="379"/>
      <c r="D679" s="375"/>
      <c r="E679" s="379"/>
      <c r="F679" s="379"/>
      <c r="G679" s="398" t="s">
        <v>545</v>
      </c>
      <c r="H679" s="404">
        <f>H678/60</f>
        <v>0.33333333333333331</v>
      </c>
      <c r="I679" s="400" t="s">
        <v>541</v>
      </c>
      <c r="J679" s="379"/>
      <c r="K679" s="388"/>
      <c r="L679" s="401"/>
      <c r="M679" s="401"/>
      <c r="N679" s="381"/>
      <c r="O679" s="229"/>
      <c r="P679"/>
      <c r="Q679"/>
      <c r="T679"/>
    </row>
    <row r="680" spans="1:20" ht="27" customHeight="1" thickBot="1" x14ac:dyDescent="0.35">
      <c r="A680" s="228"/>
      <c r="B680" s="47"/>
      <c r="C680"/>
      <c r="D680"/>
      <c r="E680"/>
      <c r="F680"/>
      <c r="G680"/>
      <c r="H680"/>
      <c r="I680"/>
      <c r="J680"/>
      <c r="K680"/>
      <c r="L680"/>
      <c r="M680"/>
      <c r="N680" s="381"/>
      <c r="O680" s="229"/>
      <c r="P680"/>
      <c r="Q680"/>
      <c r="T680"/>
    </row>
    <row r="681" spans="1:20" ht="40.049999999999997" customHeight="1" thickBot="1" x14ac:dyDescent="0.35">
      <c r="A681" s="228"/>
      <c r="B681" s="676" t="s">
        <v>587</v>
      </c>
      <c r="C681" s="677"/>
      <c r="D681" s="677"/>
      <c r="E681" s="677"/>
      <c r="F681" s="677"/>
      <c r="G681" s="677"/>
      <c r="H681" s="677"/>
      <c r="I681" s="677"/>
      <c r="J681" s="677"/>
      <c r="K681" s="677"/>
      <c r="L681" s="677"/>
      <c r="M681" s="677"/>
      <c r="N681" s="678"/>
      <c r="O681" s="229"/>
      <c r="P681"/>
      <c r="Q681"/>
      <c r="T681"/>
    </row>
    <row r="682" spans="1:20" ht="54" customHeight="1" x14ac:dyDescent="0.3">
      <c r="A682" s="228"/>
      <c r="B682" s="365" t="s">
        <v>498</v>
      </c>
      <c r="C682" s="366" t="s">
        <v>499</v>
      </c>
      <c r="D682" s="366" t="s">
        <v>500</v>
      </c>
      <c r="E682" s="366" t="s">
        <v>501</v>
      </c>
      <c r="F682" s="366" t="s">
        <v>502</v>
      </c>
      <c r="G682" s="366" t="s">
        <v>574</v>
      </c>
      <c r="H682" s="366" t="s">
        <v>504</v>
      </c>
      <c r="I682" s="366" t="s">
        <v>505</v>
      </c>
      <c r="J682" s="366" t="s">
        <v>506</v>
      </c>
      <c r="K682" s="366" t="s">
        <v>507</v>
      </c>
      <c r="L682" s="366" t="s">
        <v>562</v>
      </c>
      <c r="M682" s="679" t="s">
        <v>563</v>
      </c>
      <c r="N682" s="680"/>
      <c r="O682" s="229"/>
      <c r="P682"/>
      <c r="Q682"/>
      <c r="T682"/>
    </row>
    <row r="683" spans="1:20" ht="30" customHeight="1" thickBot="1" x14ac:dyDescent="0.35">
      <c r="B683" s="369">
        <v>2</v>
      </c>
      <c r="C683" s="222" t="s">
        <v>158</v>
      </c>
      <c r="D683" s="222">
        <v>3</v>
      </c>
      <c r="E683" s="212" t="s">
        <v>511</v>
      </c>
      <c r="F683" s="222" t="s">
        <v>96</v>
      </c>
      <c r="G683" s="222">
        <v>90</v>
      </c>
      <c r="H683" s="456" t="e">
        <f>(#REF!/#REF!)/#REF!</f>
        <v>#REF!</v>
      </c>
      <c r="I683" s="212" t="s">
        <v>96</v>
      </c>
      <c r="J683" s="212" t="s">
        <v>96</v>
      </c>
      <c r="K683" s="457">
        <f>xx!I99/xx!J98</f>
        <v>0.8</v>
      </c>
      <c r="L683" s="371">
        <f>H697</f>
        <v>6</v>
      </c>
      <c r="M683" s="681">
        <f>L688</f>
        <v>89.460784313725483</v>
      </c>
      <c r="N683" s="682"/>
    </row>
    <row r="684" spans="1:20" ht="30" customHeight="1" x14ac:dyDescent="0.3">
      <c r="B684" s="683"/>
      <c r="C684" s="628"/>
      <c r="D684" s="628"/>
      <c r="E684" s="628"/>
      <c r="F684" s="628"/>
      <c r="G684" s="628"/>
      <c r="H684" s="628"/>
      <c r="I684" s="628"/>
      <c r="J684" s="628"/>
      <c r="K684" s="628"/>
      <c r="L684" s="628"/>
      <c r="M684" s="628"/>
      <c r="N684" s="629"/>
    </row>
    <row r="685" spans="1:20" ht="30" customHeight="1" x14ac:dyDescent="0.3">
      <c r="B685" s="47"/>
      <c r="C685" s="673" t="s">
        <v>564</v>
      </c>
      <c r="D685" s="674"/>
      <c r="E685" s="675"/>
      <c r="F685" s="375"/>
      <c r="G685" s="673" t="s">
        <v>565</v>
      </c>
      <c r="H685" s="674"/>
      <c r="I685" s="675"/>
      <c r="J685" s="375"/>
      <c r="K685" s="673" t="s">
        <v>566</v>
      </c>
      <c r="L685" s="674"/>
      <c r="M685" s="675"/>
      <c r="N685" s="376"/>
    </row>
    <row r="686" spans="1:20" ht="30" customHeight="1" x14ac:dyDescent="0.3">
      <c r="B686" s="47"/>
      <c r="C686" s="438"/>
      <c r="D686" s="439"/>
      <c r="E686" s="440"/>
      <c r="F686" s="420"/>
      <c r="G686" s="441"/>
      <c r="H686" s="420"/>
      <c r="I686" s="442"/>
      <c r="J686" s="420"/>
      <c r="K686" s="443"/>
      <c r="L686" s="420"/>
      <c r="M686" s="444"/>
      <c r="N686" s="376"/>
    </row>
    <row r="687" spans="1:20" ht="30" customHeight="1" x14ac:dyDescent="0.3">
      <c r="B687" s="47"/>
      <c r="C687" s="382" t="s">
        <v>515</v>
      </c>
      <c r="D687" s="11">
        <f>D683</f>
        <v>3</v>
      </c>
      <c r="E687" s="2" t="s">
        <v>516</v>
      </c>
      <c r="F687" s="420"/>
      <c r="G687" s="382" t="s">
        <v>517</v>
      </c>
      <c r="H687" s="3">
        <v>143</v>
      </c>
      <c r="I687" s="2" t="s">
        <v>518</v>
      </c>
      <c r="J687" s="420"/>
      <c r="K687" s="21" t="s">
        <v>519</v>
      </c>
      <c r="L687" s="445">
        <f>D696/H697</f>
        <v>45625</v>
      </c>
      <c r="M687" s="2" t="s">
        <v>520</v>
      </c>
      <c r="N687" s="376"/>
    </row>
    <row r="688" spans="1:20" ht="30" customHeight="1" x14ac:dyDescent="0.3">
      <c r="B688" s="47"/>
      <c r="C688" s="382" t="s">
        <v>521</v>
      </c>
      <c r="D688" s="11" t="s">
        <v>96</v>
      </c>
      <c r="E688" s="2" t="s">
        <v>522</v>
      </c>
      <c r="F688" s="420"/>
      <c r="G688" s="382" t="s">
        <v>523</v>
      </c>
      <c r="H688" s="11">
        <f>D690</f>
        <v>0.7</v>
      </c>
      <c r="I688" s="2" t="s">
        <v>524</v>
      </c>
      <c r="J688" s="420"/>
      <c r="K688" s="431" t="s">
        <v>569</v>
      </c>
      <c r="L688" s="432">
        <f>L687/D695</f>
        <v>89.460784313725483</v>
      </c>
      <c r="M688" s="349" t="s">
        <v>570</v>
      </c>
      <c r="N688" s="376"/>
    </row>
    <row r="689" spans="1:32" ht="30" customHeight="1" x14ac:dyDescent="0.3">
      <c r="B689" s="47"/>
      <c r="C689" s="382" t="s">
        <v>526</v>
      </c>
      <c r="D689" s="3">
        <f>xx!J98</f>
        <v>2500</v>
      </c>
      <c r="E689" s="2" t="s">
        <v>527</v>
      </c>
      <c r="F689" s="420"/>
      <c r="G689" s="382" t="s">
        <v>528</v>
      </c>
      <c r="H689" s="11">
        <f>D692</f>
        <v>25</v>
      </c>
      <c r="I689" s="2" t="s">
        <v>518</v>
      </c>
      <c r="J689" s="420"/>
      <c r="K689" s="420"/>
      <c r="L689" s="449"/>
      <c r="M689" s="420"/>
      <c r="N689" s="376"/>
    </row>
    <row r="690" spans="1:32" ht="30" customHeight="1" x14ac:dyDescent="0.3">
      <c r="B690" s="47"/>
      <c r="C690" s="382" t="s">
        <v>529</v>
      </c>
      <c r="D690" s="11">
        <v>0.7</v>
      </c>
      <c r="E690" s="2" t="s">
        <v>524</v>
      </c>
      <c r="F690" s="420"/>
      <c r="G690" s="382" t="s">
        <v>530</v>
      </c>
      <c r="H690" s="11">
        <f>D693</f>
        <v>90</v>
      </c>
      <c r="I690" s="2" t="s">
        <v>518</v>
      </c>
      <c r="J690" s="420"/>
      <c r="K690" s="420"/>
      <c r="L690" s="449"/>
      <c r="M690" s="420"/>
      <c r="N690" s="376"/>
    </row>
    <row r="691" spans="1:32" s="14" customFormat="1" ht="30" customHeight="1" x14ac:dyDescent="0.3">
      <c r="A691"/>
      <c r="B691" s="47"/>
      <c r="C691" s="382" t="s">
        <v>531</v>
      </c>
      <c r="D691" s="383">
        <v>80</v>
      </c>
      <c r="E691" s="2" t="s">
        <v>532</v>
      </c>
      <c r="F691" s="420"/>
      <c r="G691" s="382" t="s">
        <v>533</v>
      </c>
      <c r="H691" s="11">
        <f>D694</f>
        <v>9.4</v>
      </c>
      <c r="I691" s="2" t="s">
        <v>534</v>
      </c>
      <c r="J691" s="420"/>
      <c r="K691" s="420"/>
      <c r="L691" s="375"/>
      <c r="M691" s="420"/>
      <c r="N691" s="376"/>
      <c r="Q691" s="1"/>
      <c r="R691"/>
      <c r="S691"/>
      <c r="T691" s="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1:32" s="14" customFormat="1" ht="30" customHeight="1" x14ac:dyDescent="0.3">
      <c r="A692"/>
      <c r="B692" s="47"/>
      <c r="C692" s="382" t="s">
        <v>535</v>
      </c>
      <c r="D692" s="11">
        <v>25</v>
      </c>
      <c r="E692" s="2" t="s">
        <v>518</v>
      </c>
      <c r="F692" s="420"/>
      <c r="G692" s="382" t="s">
        <v>536</v>
      </c>
      <c r="H692" s="2">
        <v>400</v>
      </c>
      <c r="I692" s="21" t="s">
        <v>537</v>
      </c>
      <c r="J692" s="420"/>
      <c r="K692" s="420"/>
      <c r="L692" s="420"/>
      <c r="M692" s="420"/>
      <c r="N692" s="376"/>
      <c r="Q692" s="1"/>
      <c r="R692"/>
      <c r="S692"/>
      <c r="T692" s="1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1:32" s="14" customFormat="1" ht="30" customHeight="1" x14ac:dyDescent="0.3">
      <c r="A693"/>
      <c r="B693" s="47"/>
      <c r="C693" s="382" t="s">
        <v>538</v>
      </c>
      <c r="D693" s="11">
        <v>90</v>
      </c>
      <c r="E693" s="2" t="s">
        <v>518</v>
      </c>
      <c r="F693" s="420"/>
      <c r="G693" s="2"/>
      <c r="H693" s="21"/>
      <c r="I693" s="21"/>
      <c r="J693" s="420"/>
      <c r="K693" s="420"/>
      <c r="L693" s="420"/>
      <c r="M693" s="420"/>
      <c r="N693" s="376"/>
      <c r="Q693" s="1"/>
      <c r="R693"/>
      <c r="S693"/>
      <c r="T693" s="1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1:32" s="14" customFormat="1" ht="30" customHeight="1" x14ac:dyDescent="0.3">
      <c r="A694"/>
      <c r="B694" s="47"/>
      <c r="C694" s="382" t="s">
        <v>539</v>
      </c>
      <c r="D694" s="11">
        <v>9.4</v>
      </c>
      <c r="E694" s="2" t="s">
        <v>534</v>
      </c>
      <c r="F694" s="420"/>
      <c r="G694" s="389" t="s">
        <v>540</v>
      </c>
      <c r="H694" s="390" t="e">
        <f>(((D689*D690*(D693-D692)+D689*D691*H683)/(H691*H692))*(LN((H687-H689)/(H687-H690))))</f>
        <v>#REF!</v>
      </c>
      <c r="I694" s="389" t="s">
        <v>541</v>
      </c>
      <c r="J694" s="420"/>
      <c r="K694" s="420"/>
      <c r="L694" s="420"/>
      <c r="M694" s="420"/>
      <c r="N694" s="376"/>
      <c r="Q694" s="1"/>
      <c r="R694"/>
      <c r="S694"/>
      <c r="T694" s="1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1:32" s="14" customFormat="1" ht="30" customHeight="1" x14ac:dyDescent="0.3">
      <c r="A695"/>
      <c r="B695" s="47"/>
      <c r="C695" s="382" t="s">
        <v>571</v>
      </c>
      <c r="D695" s="11">
        <v>510</v>
      </c>
      <c r="E695" s="2" t="s">
        <v>572</v>
      </c>
      <c r="F695" s="420"/>
      <c r="G695" s="670" t="s">
        <v>567</v>
      </c>
      <c r="H695" s="671"/>
      <c r="I695" s="672"/>
      <c r="J695" s="420"/>
      <c r="K695" s="420"/>
      <c r="L695" s="420"/>
      <c r="M695" s="420"/>
      <c r="N695" s="376"/>
      <c r="Q695" s="1"/>
      <c r="R695"/>
      <c r="S695"/>
      <c r="T695" s="1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1:32" s="14" customFormat="1" ht="30" customHeight="1" x14ac:dyDescent="0.3">
      <c r="A696"/>
      <c r="B696" s="47"/>
      <c r="C696" s="392" t="s">
        <v>573</v>
      </c>
      <c r="D696" s="393">
        <f>(D689*D690*(D693-D692)+D689*D691*K683)</f>
        <v>273750</v>
      </c>
      <c r="E696" s="389" t="s">
        <v>543</v>
      </c>
      <c r="F696" s="420"/>
      <c r="G696" s="398" t="s">
        <v>568</v>
      </c>
      <c r="H696" s="399">
        <v>360</v>
      </c>
      <c r="I696" s="400" t="s">
        <v>546</v>
      </c>
      <c r="J696" s="420"/>
      <c r="K696" s="420"/>
      <c r="L696" s="420"/>
      <c r="M696" s="420"/>
      <c r="N696" s="376"/>
      <c r="Q696" s="1"/>
      <c r="R696"/>
      <c r="S696"/>
      <c r="T696" s="1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1:32" s="14" customFormat="1" ht="30" customHeight="1" x14ac:dyDescent="0.3">
      <c r="A697"/>
      <c r="B697" s="47"/>
      <c r="C697"/>
      <c r="D697"/>
      <c r="E697"/>
      <c r="F697"/>
      <c r="G697" s="398" t="s">
        <v>568</v>
      </c>
      <c r="H697" s="404">
        <f>H696/60</f>
        <v>6</v>
      </c>
      <c r="I697" s="400" t="s">
        <v>541</v>
      </c>
      <c r="J697" s="379"/>
      <c r="K697" s="388"/>
      <c r="L697" s="401"/>
      <c r="M697" s="401"/>
      <c r="N697" s="381"/>
      <c r="Q697" s="1"/>
      <c r="R697"/>
      <c r="S697"/>
      <c r="T697" s="1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1:32" s="14" customFormat="1" ht="30" customHeight="1" x14ac:dyDescent="0.3">
      <c r="A698"/>
      <c r="B698" s="47"/>
      <c r="C698"/>
      <c r="D698" s="410"/>
      <c r="E698" s="410"/>
      <c r="F698" s="379"/>
      <c r="G698"/>
      <c r="H698"/>
      <c r="I698"/>
      <c r="J698" s="379"/>
      <c r="K698" s="388"/>
      <c r="L698" s="401"/>
      <c r="M698" s="401"/>
      <c r="N698" s="381"/>
      <c r="Q698" s="1"/>
      <c r="R698"/>
      <c r="S698"/>
      <c r="T698" s="1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1:32" ht="30" customHeight="1" thickBot="1" x14ac:dyDescent="0.35">
      <c r="B699" s="47"/>
      <c r="C699" s="379"/>
      <c r="D699" s="375"/>
      <c r="E699" s="379"/>
      <c r="F699" s="379"/>
      <c r="G699" s="482"/>
      <c r="H699" s="483"/>
      <c r="I699" s="484"/>
      <c r="J699" s="379"/>
      <c r="K699" s="388"/>
      <c r="L699" s="401"/>
      <c r="M699" s="401"/>
      <c r="N699" s="376"/>
      <c r="P699"/>
      <c r="Q699"/>
      <c r="T699"/>
    </row>
    <row r="700" spans="1:32" s="14" customFormat="1" ht="52.5" customHeight="1" x14ac:dyDescent="0.3">
      <c r="A700"/>
      <c r="B700" s="365" t="s">
        <v>498</v>
      </c>
      <c r="C700" s="366" t="s">
        <v>499</v>
      </c>
      <c r="D700" s="366" t="s">
        <v>500</v>
      </c>
      <c r="E700" s="366" t="s">
        <v>501</v>
      </c>
      <c r="F700" s="366" t="s">
        <v>502</v>
      </c>
      <c r="G700" s="366" t="s">
        <v>574</v>
      </c>
      <c r="H700" s="366" t="s">
        <v>504</v>
      </c>
      <c r="I700" s="366" t="s">
        <v>505</v>
      </c>
      <c r="J700" s="366" t="s">
        <v>506</v>
      </c>
      <c r="K700" s="366" t="s">
        <v>507</v>
      </c>
      <c r="L700" s="366" t="s">
        <v>562</v>
      </c>
      <c r="M700" s="679" t="s">
        <v>563</v>
      </c>
      <c r="N700" s="680"/>
      <c r="Q700" s="1"/>
      <c r="R700"/>
      <c r="S700"/>
      <c r="T700" s="1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1:32" s="14" customFormat="1" ht="30" customHeight="1" thickBot="1" x14ac:dyDescent="0.35">
      <c r="A701"/>
      <c r="B701" s="369">
        <v>3</v>
      </c>
      <c r="C701" s="222" t="s">
        <v>158</v>
      </c>
      <c r="D701" s="222">
        <v>3</v>
      </c>
      <c r="E701" s="212" t="s">
        <v>511</v>
      </c>
      <c r="F701" s="222" t="s">
        <v>96</v>
      </c>
      <c r="G701" s="222">
        <v>90</v>
      </c>
      <c r="H701" s="456" t="s">
        <v>96</v>
      </c>
      <c r="I701" s="212" t="s">
        <v>96</v>
      </c>
      <c r="J701" s="212" t="s">
        <v>96</v>
      </c>
      <c r="K701" s="457" t="s">
        <v>96</v>
      </c>
      <c r="L701" s="371">
        <f>H715</f>
        <v>1</v>
      </c>
      <c r="M701" s="681">
        <f>L706</f>
        <v>44.607843137254903</v>
      </c>
      <c r="N701" s="682"/>
      <c r="Q701" s="1"/>
      <c r="R701"/>
      <c r="S701"/>
      <c r="T701" s="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1:32" s="14" customFormat="1" ht="30" customHeight="1" x14ac:dyDescent="0.3">
      <c r="A702"/>
      <c r="B702" s="683"/>
      <c r="C702" s="628"/>
      <c r="D702" s="628"/>
      <c r="E702" s="628"/>
      <c r="F702" s="628"/>
      <c r="G702" s="628"/>
      <c r="H702" s="628"/>
      <c r="I702" s="628"/>
      <c r="J702" s="628"/>
      <c r="K702" s="628"/>
      <c r="L702" s="628"/>
      <c r="M702" s="628"/>
      <c r="N702" s="629"/>
      <c r="Q702" s="1"/>
      <c r="R702"/>
      <c r="S702"/>
      <c r="T702" s="1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1:32" s="14" customFormat="1" ht="30" customHeight="1" x14ac:dyDescent="0.3">
      <c r="A703"/>
      <c r="B703" s="47"/>
      <c r="C703" s="673" t="s">
        <v>564</v>
      </c>
      <c r="D703" s="674"/>
      <c r="E703" s="675"/>
      <c r="F703" s="375"/>
      <c r="G703" s="673" t="s">
        <v>565</v>
      </c>
      <c r="H703" s="674"/>
      <c r="I703" s="675"/>
      <c r="J703" s="375"/>
      <c r="K703" s="673" t="s">
        <v>566</v>
      </c>
      <c r="L703" s="674"/>
      <c r="M703" s="675"/>
      <c r="N703" s="376"/>
      <c r="Q703" s="1"/>
      <c r="R703"/>
      <c r="S703"/>
      <c r="T703" s="1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1:32" s="14" customFormat="1" ht="30" customHeight="1" x14ac:dyDescent="0.3">
      <c r="A704"/>
      <c r="B704" s="47"/>
      <c r="C704" s="438"/>
      <c r="D704" s="439"/>
      <c r="E704" s="440"/>
      <c r="F704" s="420"/>
      <c r="G704" s="441"/>
      <c r="H704" s="420"/>
      <c r="I704" s="442"/>
      <c r="J704" s="420"/>
      <c r="K704" s="443"/>
      <c r="L704" s="420"/>
      <c r="M704" s="444"/>
      <c r="N704" s="376"/>
      <c r="Q704" s="1"/>
      <c r="R704"/>
      <c r="S704"/>
      <c r="T704" s="1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1:32" s="14" customFormat="1" ht="30" customHeight="1" x14ac:dyDescent="0.3">
      <c r="A705"/>
      <c r="B705" s="47"/>
      <c r="C705" s="382" t="s">
        <v>515</v>
      </c>
      <c r="D705" s="11">
        <f>D701</f>
        <v>3</v>
      </c>
      <c r="E705" s="2" t="s">
        <v>516</v>
      </c>
      <c r="F705" s="420"/>
      <c r="G705" s="382" t="s">
        <v>517</v>
      </c>
      <c r="H705" s="3">
        <v>143</v>
      </c>
      <c r="I705" s="2" t="s">
        <v>518</v>
      </c>
      <c r="J705" s="420"/>
      <c r="K705" s="21" t="s">
        <v>519</v>
      </c>
      <c r="L705" s="445">
        <f>D714/H715</f>
        <v>22750</v>
      </c>
      <c r="M705" s="2" t="s">
        <v>520</v>
      </c>
      <c r="N705" s="376"/>
      <c r="Q705" s="1"/>
      <c r="R705"/>
      <c r="S705"/>
      <c r="T705" s="1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1:32" s="14" customFormat="1" ht="30" customHeight="1" x14ac:dyDescent="0.3">
      <c r="A706"/>
      <c r="B706" s="47"/>
      <c r="C706" s="382" t="s">
        <v>521</v>
      </c>
      <c r="D706" s="11" t="s">
        <v>96</v>
      </c>
      <c r="E706" s="2" t="s">
        <v>522</v>
      </c>
      <c r="F706" s="420"/>
      <c r="G706" s="382" t="s">
        <v>523</v>
      </c>
      <c r="H706" s="11">
        <f>D708</f>
        <v>0.7</v>
      </c>
      <c r="I706" s="2" t="s">
        <v>524</v>
      </c>
      <c r="J706" s="420"/>
      <c r="K706" s="431" t="s">
        <v>569</v>
      </c>
      <c r="L706" s="432">
        <f>L705/D713</f>
        <v>44.607843137254903</v>
      </c>
      <c r="M706" s="349" t="s">
        <v>570</v>
      </c>
      <c r="N706" s="376"/>
      <c r="Q706" s="1"/>
      <c r="R706"/>
      <c r="S706"/>
      <c r="T706" s="1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1:32" s="14" customFormat="1" ht="30" customHeight="1" x14ac:dyDescent="0.3">
      <c r="A707"/>
      <c r="B707" s="47"/>
      <c r="C707" s="382" t="s">
        <v>526</v>
      </c>
      <c r="D707" s="3">
        <f>xx!H100</f>
        <v>500</v>
      </c>
      <c r="E707" s="2" t="s">
        <v>527</v>
      </c>
      <c r="F707" s="420"/>
      <c r="G707" s="382" t="s">
        <v>528</v>
      </c>
      <c r="H707" s="11">
        <f>D710</f>
        <v>25</v>
      </c>
      <c r="I707" s="2" t="s">
        <v>518</v>
      </c>
      <c r="J707" s="420"/>
      <c r="K707" s="420"/>
      <c r="L707" s="449"/>
      <c r="M707" s="420"/>
      <c r="N707" s="376"/>
      <c r="Q707" s="1"/>
      <c r="R707"/>
      <c r="S707"/>
      <c r="T707" s="1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1:32" ht="30" customHeight="1" x14ac:dyDescent="0.3">
      <c r="B708" s="47"/>
      <c r="C708" s="382" t="s">
        <v>529</v>
      </c>
      <c r="D708" s="11">
        <v>0.7</v>
      </c>
      <c r="E708" s="2" t="s">
        <v>524</v>
      </c>
      <c r="F708" s="420"/>
      <c r="G708" s="382" t="s">
        <v>530</v>
      </c>
      <c r="H708" s="11">
        <f>D711</f>
        <v>90</v>
      </c>
      <c r="I708" s="2" t="s">
        <v>518</v>
      </c>
      <c r="J708" s="420"/>
      <c r="K708" s="420"/>
      <c r="L708" s="449"/>
      <c r="M708" s="420"/>
      <c r="N708" s="376"/>
    </row>
    <row r="709" spans="1:32" ht="30" customHeight="1" x14ac:dyDescent="0.3">
      <c r="B709" s="47"/>
      <c r="C709" s="382" t="s">
        <v>531</v>
      </c>
      <c r="D709" s="383">
        <v>80</v>
      </c>
      <c r="E709" s="2" t="s">
        <v>532</v>
      </c>
      <c r="F709" s="420"/>
      <c r="G709" s="382" t="s">
        <v>533</v>
      </c>
      <c r="H709" s="11">
        <f>D712</f>
        <v>9.4</v>
      </c>
      <c r="I709" s="2" t="s">
        <v>534</v>
      </c>
      <c r="J709" s="420"/>
      <c r="K709" s="420"/>
      <c r="L709" s="375"/>
      <c r="M709" s="420"/>
      <c r="N709" s="376"/>
    </row>
    <row r="710" spans="1:32" ht="30" customHeight="1" x14ac:dyDescent="0.3">
      <c r="B710" s="47"/>
      <c r="C710" s="382" t="s">
        <v>535</v>
      </c>
      <c r="D710" s="11">
        <v>25</v>
      </c>
      <c r="E710" s="2" t="s">
        <v>518</v>
      </c>
      <c r="F710" s="420"/>
      <c r="G710" s="382" t="s">
        <v>536</v>
      </c>
      <c r="H710" s="2">
        <v>400</v>
      </c>
      <c r="I710" s="21" t="s">
        <v>537</v>
      </c>
      <c r="J710" s="420"/>
      <c r="K710" s="420"/>
      <c r="L710" s="420"/>
      <c r="M710" s="420"/>
      <c r="N710" s="376"/>
    </row>
    <row r="711" spans="1:32" ht="30" customHeight="1" x14ac:dyDescent="0.3">
      <c r="B711" s="47"/>
      <c r="C711" s="382" t="s">
        <v>538</v>
      </c>
      <c r="D711" s="11">
        <v>90</v>
      </c>
      <c r="E711" s="2" t="s">
        <v>518</v>
      </c>
      <c r="F711" s="420"/>
      <c r="G711" s="2"/>
      <c r="H711" s="21"/>
      <c r="I711" s="21"/>
      <c r="J711" s="420"/>
      <c r="K711" s="420"/>
      <c r="L711" s="420"/>
      <c r="M711" s="420"/>
      <c r="N711" s="376"/>
    </row>
    <row r="712" spans="1:32" ht="30" customHeight="1" x14ac:dyDescent="0.3">
      <c r="B712" s="47"/>
      <c r="C712" s="382" t="s">
        <v>539</v>
      </c>
      <c r="D712" s="11">
        <v>9.4</v>
      </c>
      <c r="E712" s="2" t="s">
        <v>534</v>
      </c>
      <c r="F712" s="420"/>
      <c r="G712" s="389" t="s">
        <v>540</v>
      </c>
      <c r="H712" s="390">
        <f>(((D707*D708)/(H709*H710))*(LN((H705-H707)/(H705-H708))))</f>
        <v>7.4504640643547879E-2</v>
      </c>
      <c r="I712" s="389" t="s">
        <v>541</v>
      </c>
      <c r="J712" s="420"/>
      <c r="K712" s="420"/>
      <c r="L712" s="420"/>
      <c r="M712" s="420"/>
      <c r="N712" s="376"/>
    </row>
    <row r="713" spans="1:32" ht="30" customHeight="1" x14ac:dyDescent="0.3">
      <c r="B713" s="47"/>
      <c r="C713" s="382" t="s">
        <v>571</v>
      </c>
      <c r="D713" s="11">
        <v>510</v>
      </c>
      <c r="E713" s="2" t="s">
        <v>572</v>
      </c>
      <c r="F713" s="420"/>
      <c r="G713" s="670" t="s">
        <v>567</v>
      </c>
      <c r="H713" s="671"/>
      <c r="I713" s="672"/>
      <c r="J713" s="420"/>
      <c r="K713" s="420"/>
      <c r="L713" s="420"/>
      <c r="M713" s="420"/>
      <c r="N713" s="376"/>
    </row>
    <row r="714" spans="1:32" ht="30" customHeight="1" x14ac:dyDescent="0.3">
      <c r="B714" s="47"/>
      <c r="C714" s="392" t="s">
        <v>573</v>
      </c>
      <c r="D714" s="393">
        <f>(D707*D708*(D711-D710))</f>
        <v>22750</v>
      </c>
      <c r="E714" s="389" t="s">
        <v>543</v>
      </c>
      <c r="F714" s="420"/>
      <c r="G714" s="398" t="s">
        <v>568</v>
      </c>
      <c r="H714" s="399">
        <v>60</v>
      </c>
      <c r="I714" s="400" t="s">
        <v>546</v>
      </c>
      <c r="J714" s="420"/>
      <c r="K714" s="420"/>
      <c r="L714" s="420"/>
      <c r="M714" s="420"/>
      <c r="N714" s="376"/>
    </row>
    <row r="715" spans="1:32" ht="30" customHeight="1" x14ac:dyDescent="0.3">
      <c r="B715" s="47"/>
      <c r="C715"/>
      <c r="D715"/>
      <c r="E715"/>
      <c r="F715"/>
      <c r="G715" s="398" t="s">
        <v>568</v>
      </c>
      <c r="H715" s="404">
        <f>H714/60</f>
        <v>1</v>
      </c>
      <c r="I715" s="400" t="s">
        <v>541</v>
      </c>
      <c r="J715" s="379"/>
      <c r="K715" s="388"/>
      <c r="L715" s="401"/>
      <c r="M715" s="401"/>
      <c r="N715" s="381"/>
    </row>
    <row r="716" spans="1:32" ht="30" customHeight="1" x14ac:dyDescent="0.3">
      <c r="B716" s="47"/>
      <c r="C716"/>
      <c r="D716" s="410"/>
      <c r="E716" s="410"/>
      <c r="F716" s="379"/>
      <c r="G716"/>
      <c r="H716"/>
      <c r="I716"/>
      <c r="J716" s="379"/>
      <c r="K716" s="388"/>
      <c r="L716" s="401"/>
      <c r="M716" s="401"/>
      <c r="N716" s="381"/>
    </row>
    <row r="717" spans="1:32" ht="30" customHeight="1" thickBot="1" x14ac:dyDescent="0.35">
      <c r="B717" s="47"/>
      <c r="C717"/>
      <c r="D717" s="410"/>
      <c r="E717" s="410"/>
      <c r="F717" s="379"/>
      <c r="G717"/>
      <c r="H717"/>
      <c r="I717"/>
      <c r="J717" s="379"/>
      <c r="K717" s="388"/>
      <c r="L717" s="401"/>
      <c r="M717" s="401"/>
      <c r="N717" s="381"/>
    </row>
    <row r="718" spans="1:32" s="303" customFormat="1" ht="62.25" customHeight="1" x14ac:dyDescent="0.3">
      <c r="A718" s="364"/>
      <c r="B718" s="365" t="s">
        <v>498</v>
      </c>
      <c r="C718" s="366" t="s">
        <v>499</v>
      </c>
      <c r="D718" s="366" t="s">
        <v>500</v>
      </c>
      <c r="E718" s="366" t="s">
        <v>501</v>
      </c>
      <c r="F718" s="366" t="s">
        <v>502</v>
      </c>
      <c r="G718" s="366" t="s">
        <v>503</v>
      </c>
      <c r="H718" s="366" t="s">
        <v>504</v>
      </c>
      <c r="I718" s="366" t="s">
        <v>505</v>
      </c>
      <c r="J718" s="366" t="s">
        <v>506</v>
      </c>
      <c r="K718" s="366" t="s">
        <v>507</v>
      </c>
      <c r="L718" s="366" t="s">
        <v>588</v>
      </c>
      <c r="M718" s="679" t="s">
        <v>576</v>
      </c>
      <c r="N718" s="680"/>
      <c r="O718" s="367"/>
      <c r="T718" s="368"/>
    </row>
    <row r="719" spans="1:32" ht="36.75" customHeight="1" thickBot="1" x14ac:dyDescent="0.35">
      <c r="A719" s="228"/>
      <c r="B719" s="369">
        <v>4</v>
      </c>
      <c r="C719" s="239" t="s">
        <v>158</v>
      </c>
      <c r="D719" s="212">
        <v>3</v>
      </c>
      <c r="E719" s="212" t="s">
        <v>511</v>
      </c>
      <c r="F719" s="222" t="s">
        <v>96</v>
      </c>
      <c r="G719" s="222">
        <v>30</v>
      </c>
      <c r="H719" s="370" t="s">
        <v>96</v>
      </c>
      <c r="I719" s="212" t="s">
        <v>96</v>
      </c>
      <c r="J719" s="212" t="s">
        <v>96</v>
      </c>
      <c r="K719" s="222" t="s">
        <v>96</v>
      </c>
      <c r="L719" s="371">
        <f>H733+H747</f>
        <v>0.66666666666666663</v>
      </c>
      <c r="M719" s="681">
        <f>L724</f>
        <v>14.2</v>
      </c>
      <c r="N719" s="682"/>
      <c r="O719" s="229"/>
      <c r="P719"/>
      <c r="Q719"/>
    </row>
    <row r="720" spans="1:32" ht="30" customHeight="1" x14ac:dyDescent="0.3">
      <c r="A720" s="228"/>
      <c r="B720" s="683"/>
      <c r="C720" s="628"/>
      <c r="D720" s="628"/>
      <c r="E720" s="628"/>
      <c r="F720" s="628"/>
      <c r="G720" s="628"/>
      <c r="H720" s="628"/>
      <c r="I720" s="628"/>
      <c r="J720" s="628"/>
      <c r="K720" s="628"/>
      <c r="L720" s="628"/>
      <c r="M720" s="628"/>
      <c r="N720" s="629"/>
      <c r="O720" s="346"/>
      <c r="P720"/>
      <c r="Q720"/>
      <c r="T720"/>
    </row>
    <row r="721" spans="1:20" ht="30" customHeight="1" x14ac:dyDescent="0.3">
      <c r="A721" s="228"/>
      <c r="B721" s="47"/>
      <c r="C721" s="673" t="s">
        <v>577</v>
      </c>
      <c r="D721" s="674"/>
      <c r="E721" s="675"/>
      <c r="F721" s="375"/>
      <c r="G721" s="673" t="s">
        <v>578</v>
      </c>
      <c r="H721" s="674"/>
      <c r="I721" s="675"/>
      <c r="J721" s="375"/>
      <c r="K721" s="673" t="s">
        <v>579</v>
      </c>
      <c r="L721" s="674"/>
      <c r="M721" s="675"/>
      <c r="N721" s="376"/>
      <c r="O721" s="346"/>
      <c r="P721"/>
      <c r="Q721"/>
      <c r="T721"/>
    </row>
    <row r="722" spans="1:20" ht="30" customHeight="1" x14ac:dyDescent="0.3">
      <c r="A722" s="228"/>
      <c r="B722" s="47"/>
      <c r="C722" s="377"/>
      <c r="D722" s="11"/>
      <c r="E722" s="378"/>
      <c r="F722" s="379"/>
      <c r="G722" s="380"/>
      <c r="H722" s="380"/>
      <c r="I722" s="380"/>
      <c r="J722" s="379"/>
      <c r="K722" s="378"/>
      <c r="L722" s="2"/>
      <c r="M722" s="378"/>
      <c r="N722" s="381"/>
      <c r="O722" s="346"/>
      <c r="P722"/>
      <c r="Q722"/>
      <c r="T722"/>
    </row>
    <row r="723" spans="1:20" ht="30" customHeight="1" x14ac:dyDescent="0.3">
      <c r="A723" s="228"/>
      <c r="B723" s="47"/>
      <c r="C723" s="382" t="s">
        <v>515</v>
      </c>
      <c r="D723" s="383">
        <f>D719</f>
        <v>3</v>
      </c>
      <c r="E723" s="2" t="s">
        <v>516</v>
      </c>
      <c r="F723" s="379"/>
      <c r="G723" s="382" t="s">
        <v>517</v>
      </c>
      <c r="H723" s="3">
        <v>32</v>
      </c>
      <c r="I723" s="2" t="s">
        <v>518</v>
      </c>
      <c r="J723" s="379"/>
      <c r="K723" s="21" t="s">
        <v>519</v>
      </c>
      <c r="L723" s="163">
        <f>D731/H733</f>
        <v>70000</v>
      </c>
      <c r="M723" s="2" t="s">
        <v>520</v>
      </c>
      <c r="N723" s="381"/>
      <c r="O723" s="346"/>
      <c r="P723"/>
      <c r="Q723"/>
      <c r="T723"/>
    </row>
    <row r="724" spans="1:20" ht="30" customHeight="1" x14ac:dyDescent="0.3">
      <c r="A724" s="228"/>
      <c r="B724" s="47"/>
      <c r="C724" s="382" t="s">
        <v>521</v>
      </c>
      <c r="D724" s="11" t="s">
        <v>96</v>
      </c>
      <c r="E724" s="2" t="s">
        <v>522</v>
      </c>
      <c r="F724" s="379"/>
      <c r="G724" s="382" t="s">
        <v>523</v>
      </c>
      <c r="H724" s="11">
        <f>D726</f>
        <v>0.7</v>
      </c>
      <c r="I724" s="2" t="s">
        <v>524</v>
      </c>
      <c r="J724" s="379"/>
      <c r="K724" s="431" t="s">
        <v>604</v>
      </c>
      <c r="L724" s="462">
        <f>IF(L723/5/1000&lt;14.2,14.2,L723/5/1000)</f>
        <v>14.2</v>
      </c>
      <c r="M724" s="133" t="s">
        <v>525</v>
      </c>
      <c r="N724" s="381"/>
      <c r="O724" s="346"/>
      <c r="P724"/>
      <c r="Q724"/>
      <c r="T724"/>
    </row>
    <row r="725" spans="1:20" ht="30" customHeight="1" x14ac:dyDescent="0.3">
      <c r="A725" s="228"/>
      <c r="B725" s="47"/>
      <c r="C725" s="382" t="s">
        <v>526</v>
      </c>
      <c r="D725" s="11">
        <f>xx!I101</f>
        <v>1000</v>
      </c>
      <c r="E725" s="2" t="s">
        <v>527</v>
      </c>
      <c r="F725" s="379"/>
      <c r="G725" s="382" t="s">
        <v>528</v>
      </c>
      <c r="H725" s="11">
        <f>D728</f>
        <v>90</v>
      </c>
      <c r="I725" s="2" t="s">
        <v>518</v>
      </c>
      <c r="J725" s="379"/>
      <c r="K725" s="382" t="s">
        <v>601</v>
      </c>
      <c r="L725" s="11">
        <f>L723/5/1000</f>
        <v>14</v>
      </c>
      <c r="M725" s="387"/>
      <c r="N725" s="381"/>
      <c r="O725" s="346"/>
      <c r="P725"/>
      <c r="Q725"/>
      <c r="T725"/>
    </row>
    <row r="726" spans="1:20" ht="30" customHeight="1" x14ac:dyDescent="0.3">
      <c r="A726" s="228"/>
      <c r="B726" s="47"/>
      <c r="C726" s="382" t="s">
        <v>529</v>
      </c>
      <c r="D726" s="11">
        <v>0.7</v>
      </c>
      <c r="E726" s="2" t="s">
        <v>524</v>
      </c>
      <c r="F726" s="379"/>
      <c r="G726" s="382" t="s">
        <v>530</v>
      </c>
      <c r="H726" s="11">
        <f>D729</f>
        <v>40</v>
      </c>
      <c r="I726" s="2" t="s">
        <v>518</v>
      </c>
      <c r="J726" s="379"/>
      <c r="K726" s="455"/>
      <c r="L726" s="464"/>
      <c r="M726" s="464"/>
      <c r="N726" s="381"/>
      <c r="O726" s="346"/>
      <c r="P726"/>
      <c r="Q726"/>
      <c r="T726"/>
    </row>
    <row r="727" spans="1:20" ht="30" customHeight="1" x14ac:dyDescent="0.3">
      <c r="A727" s="228"/>
      <c r="B727" s="47"/>
      <c r="C727" s="382" t="s">
        <v>531</v>
      </c>
      <c r="D727" s="383" t="s">
        <v>96</v>
      </c>
      <c r="E727" s="2" t="s">
        <v>532</v>
      </c>
      <c r="F727" s="379"/>
      <c r="G727" s="382" t="s">
        <v>533</v>
      </c>
      <c r="H727" s="2">
        <f>D730</f>
        <v>9.4</v>
      </c>
      <c r="I727" s="2" t="s">
        <v>534</v>
      </c>
      <c r="J727" s="379"/>
      <c r="K727" s="464"/>
      <c r="L727" s="464"/>
      <c r="M727" s="464"/>
      <c r="N727" s="381"/>
      <c r="O727" s="346"/>
      <c r="P727"/>
      <c r="Q727"/>
      <c r="T727"/>
    </row>
    <row r="728" spans="1:20" ht="30" customHeight="1" x14ac:dyDescent="0.3">
      <c r="A728" s="228"/>
      <c r="B728" s="47"/>
      <c r="C728" s="382" t="s">
        <v>535</v>
      </c>
      <c r="D728" s="11">
        <v>90</v>
      </c>
      <c r="E728" s="2" t="s">
        <v>518</v>
      </c>
      <c r="F728" s="379"/>
      <c r="G728" s="382" t="s">
        <v>536</v>
      </c>
      <c r="H728" s="2">
        <v>200</v>
      </c>
      <c r="I728" s="21" t="s">
        <v>537</v>
      </c>
      <c r="J728" s="379"/>
      <c r="K728" s="379"/>
      <c r="L728" s="375"/>
      <c r="M728" s="379"/>
      <c r="N728" s="381"/>
      <c r="O728" s="346"/>
      <c r="P728"/>
      <c r="Q728"/>
      <c r="T728"/>
    </row>
    <row r="729" spans="1:20" ht="30" customHeight="1" x14ac:dyDescent="0.3">
      <c r="A729" s="228"/>
      <c r="B729" s="47"/>
      <c r="C729" s="382" t="s">
        <v>538</v>
      </c>
      <c r="D729" s="11">
        <v>40</v>
      </c>
      <c r="E729" s="2" t="s">
        <v>518</v>
      </c>
      <c r="F729" s="379"/>
      <c r="G729" s="2"/>
      <c r="H729" s="21"/>
      <c r="I729" s="21"/>
      <c r="J729" s="379"/>
      <c r="K729" s="379"/>
      <c r="L729" s="375"/>
      <c r="M729" s="379"/>
      <c r="N729" s="381"/>
      <c r="O729" s="346"/>
      <c r="P729"/>
      <c r="Q729"/>
      <c r="T729"/>
    </row>
    <row r="730" spans="1:20" ht="30" customHeight="1" x14ac:dyDescent="0.3">
      <c r="A730" s="228"/>
      <c r="B730" s="47"/>
      <c r="C730" s="382" t="s">
        <v>539</v>
      </c>
      <c r="D730" s="11">
        <v>9.4</v>
      </c>
      <c r="E730" s="378" t="s">
        <v>534</v>
      </c>
      <c r="F730" s="379"/>
      <c r="G730" s="389" t="s">
        <v>540</v>
      </c>
      <c r="H730" s="390">
        <f>((D725*D726)/(H727*H728))*(LN((H725-H723)/(H726-H723)))</f>
        <v>0.73760692989713206</v>
      </c>
      <c r="I730" s="389" t="s">
        <v>541</v>
      </c>
      <c r="J730" s="379"/>
      <c r="K730" s="388"/>
      <c r="L730" s="391"/>
      <c r="M730" s="388"/>
      <c r="N730" s="381"/>
      <c r="O730" s="346"/>
      <c r="P730"/>
      <c r="Q730"/>
      <c r="T730"/>
    </row>
    <row r="731" spans="1:20" ht="30" customHeight="1" x14ac:dyDescent="0.3">
      <c r="A731" s="228"/>
      <c r="B731" s="47"/>
      <c r="C731" s="392" t="s">
        <v>573</v>
      </c>
      <c r="D731" s="393">
        <f>D725*D726*(D728-D729)</f>
        <v>35000</v>
      </c>
      <c r="E731" s="389" t="s">
        <v>543</v>
      </c>
      <c r="F731" s="379"/>
      <c r="G731" s="670" t="s">
        <v>567</v>
      </c>
      <c r="H731" s="671"/>
      <c r="I731" s="672"/>
      <c r="J731" s="379"/>
      <c r="K731" s="379"/>
      <c r="L731" s="397"/>
      <c r="M731" s="388"/>
      <c r="N731" s="381"/>
      <c r="O731" s="346"/>
      <c r="P731"/>
      <c r="Q731"/>
      <c r="T731"/>
    </row>
    <row r="732" spans="1:20" ht="30" customHeight="1" x14ac:dyDescent="0.3">
      <c r="A732" s="228"/>
      <c r="B732" s="47"/>
      <c r="C732"/>
      <c r="D732"/>
      <c r="E732"/>
      <c r="F732" s="420"/>
      <c r="G732" s="398" t="s">
        <v>568</v>
      </c>
      <c r="H732" s="399">
        <v>30</v>
      </c>
      <c r="I732" s="400" t="s">
        <v>546</v>
      </c>
      <c r="J732" s="420"/>
      <c r="K732" s="420"/>
      <c r="L732" s="420"/>
      <c r="M732" s="420"/>
      <c r="N732" s="376"/>
      <c r="O732" s="346"/>
      <c r="P732"/>
      <c r="Q732"/>
      <c r="T732"/>
    </row>
    <row r="733" spans="1:20" ht="30" customHeight="1" x14ac:dyDescent="0.3">
      <c r="B733" s="47"/>
      <c r="C733"/>
      <c r="D733"/>
      <c r="E733"/>
      <c r="F733" s="420"/>
      <c r="G733" s="398" t="s">
        <v>568</v>
      </c>
      <c r="H733" s="404">
        <f>H732/60</f>
        <v>0.5</v>
      </c>
      <c r="I733" s="400" t="s">
        <v>541</v>
      </c>
      <c r="J733" s="420"/>
      <c r="K733" s="420"/>
      <c r="L733" s="420"/>
      <c r="M733" s="420"/>
      <c r="N733" s="376"/>
      <c r="P733"/>
      <c r="Q733"/>
      <c r="T733"/>
    </row>
    <row r="734" spans="1:20" ht="30" customHeight="1" x14ac:dyDescent="0.3">
      <c r="B734" s="47"/>
      <c r="C734"/>
      <c r="D734"/>
      <c r="E734"/>
      <c r="F734" s="420"/>
      <c r="G734" s="422"/>
      <c r="H734" s="423"/>
      <c r="I734" s="424"/>
      <c r="J734" s="420"/>
      <c r="K734" s="420"/>
      <c r="L734" s="420"/>
      <c r="M734" s="420"/>
      <c r="N734" s="376"/>
      <c r="P734"/>
      <c r="Q734"/>
      <c r="T734"/>
    </row>
    <row r="735" spans="1:20" ht="27" customHeight="1" x14ac:dyDescent="0.3">
      <c r="A735" s="228"/>
      <c r="B735" s="47"/>
      <c r="C735" s="673" t="s">
        <v>512</v>
      </c>
      <c r="D735" s="674"/>
      <c r="E735" s="675"/>
      <c r="F735" s="375"/>
      <c r="G735" s="673" t="s">
        <v>513</v>
      </c>
      <c r="H735" s="674"/>
      <c r="I735" s="675"/>
      <c r="J735" s="375"/>
      <c r="K735" s="673" t="s">
        <v>514</v>
      </c>
      <c r="L735" s="674"/>
      <c r="M735" s="675"/>
      <c r="N735" s="376"/>
      <c r="O735" s="229"/>
      <c r="P735"/>
      <c r="Q735"/>
      <c r="T735"/>
    </row>
    <row r="736" spans="1:20" ht="27" customHeight="1" x14ac:dyDescent="0.3">
      <c r="A736" s="228"/>
      <c r="B736" s="47"/>
      <c r="C736" s="377"/>
      <c r="D736" s="11"/>
      <c r="E736" s="378"/>
      <c r="F736" s="379"/>
      <c r="G736" s="380"/>
      <c r="H736" s="380"/>
      <c r="I736" s="380"/>
      <c r="J736" s="379"/>
      <c r="K736" s="378"/>
      <c r="L736" s="2"/>
      <c r="M736" s="378"/>
      <c r="N736" s="381"/>
      <c r="O736" s="229"/>
      <c r="P736"/>
      <c r="Q736"/>
      <c r="T736"/>
    </row>
    <row r="737" spans="1:20" ht="27" customHeight="1" x14ac:dyDescent="0.3">
      <c r="A737" s="228"/>
      <c r="B737" s="47"/>
      <c r="C737" s="382" t="s">
        <v>515</v>
      </c>
      <c r="D737" s="383">
        <v>3</v>
      </c>
      <c r="E737" s="2" t="s">
        <v>516</v>
      </c>
      <c r="F737" s="379"/>
      <c r="G737" s="382" t="s">
        <v>517</v>
      </c>
      <c r="H737" s="3">
        <v>7</v>
      </c>
      <c r="I737" s="2" t="s">
        <v>518</v>
      </c>
      <c r="J737" s="379"/>
      <c r="K737" s="21" t="s">
        <v>519</v>
      </c>
      <c r="L737" s="163">
        <f>D745/H747</f>
        <v>63000</v>
      </c>
      <c r="M737" s="2" t="s">
        <v>520</v>
      </c>
      <c r="N737" s="381"/>
      <c r="O737" s="229"/>
      <c r="P737"/>
      <c r="Q737"/>
      <c r="T737"/>
    </row>
    <row r="738" spans="1:20" ht="39.6" customHeight="1" x14ac:dyDescent="0.3">
      <c r="A738" s="228"/>
      <c r="B738" s="47"/>
      <c r="C738" s="382" t="s">
        <v>521</v>
      </c>
      <c r="D738" s="11" t="s">
        <v>96</v>
      </c>
      <c r="E738" s="2" t="s">
        <v>522</v>
      </c>
      <c r="F738" s="379"/>
      <c r="G738" s="382" t="s">
        <v>523</v>
      </c>
      <c r="H738" s="11">
        <f>D740</f>
        <v>0.7</v>
      </c>
      <c r="I738" s="2" t="s">
        <v>524</v>
      </c>
      <c r="J738" s="379"/>
      <c r="K738" s="431" t="s">
        <v>604</v>
      </c>
      <c r="L738" s="462">
        <f>IF(L737/5/1000&lt;14.2,14.2,L737/5/1000)</f>
        <v>14.2</v>
      </c>
      <c r="M738" s="349" t="s">
        <v>525</v>
      </c>
      <c r="N738" s="381"/>
      <c r="O738" s="229"/>
      <c r="P738"/>
      <c r="Q738"/>
      <c r="T738"/>
    </row>
    <row r="739" spans="1:20" ht="27" customHeight="1" x14ac:dyDescent="0.3">
      <c r="A739" s="228"/>
      <c r="B739" s="47"/>
      <c r="C739" s="382" t="s">
        <v>526</v>
      </c>
      <c r="D739" s="11">
        <f>D725</f>
        <v>1000</v>
      </c>
      <c r="E739" s="2" t="s">
        <v>527</v>
      </c>
      <c r="F739" s="379"/>
      <c r="G739" s="382" t="s">
        <v>528</v>
      </c>
      <c r="H739" s="11">
        <f>D742</f>
        <v>40</v>
      </c>
      <c r="I739" s="2" t="s">
        <v>518</v>
      </c>
      <c r="J739" s="379"/>
      <c r="K739" s="382" t="s">
        <v>601</v>
      </c>
      <c r="L739" s="11">
        <f>L737/5/1000</f>
        <v>12.6</v>
      </c>
      <c r="M739" s="388"/>
      <c r="N739" s="381"/>
      <c r="O739" s="229"/>
      <c r="P739"/>
      <c r="Q739"/>
      <c r="T739"/>
    </row>
    <row r="740" spans="1:20" ht="27" customHeight="1" x14ac:dyDescent="0.3">
      <c r="A740" s="228"/>
      <c r="B740" s="47"/>
      <c r="C740" s="382" t="s">
        <v>529</v>
      </c>
      <c r="D740" s="11">
        <v>0.7</v>
      </c>
      <c r="E740" s="2" t="s">
        <v>524</v>
      </c>
      <c r="F740" s="379"/>
      <c r="G740" s="382" t="s">
        <v>530</v>
      </c>
      <c r="H740" s="11">
        <f>D743</f>
        <v>25</v>
      </c>
      <c r="I740" s="2" t="s">
        <v>518</v>
      </c>
      <c r="J740" s="379"/>
      <c r="K740" s="455"/>
      <c r="L740" s="455"/>
      <c r="M740" s="455"/>
      <c r="N740" s="381"/>
      <c r="O740" s="229"/>
      <c r="P740"/>
      <c r="Q740"/>
      <c r="T740"/>
    </row>
    <row r="741" spans="1:20" ht="27" customHeight="1" x14ac:dyDescent="0.3">
      <c r="A741" s="228"/>
      <c r="B741" s="47"/>
      <c r="C741" s="382" t="s">
        <v>531</v>
      </c>
      <c r="D741" s="383" t="s">
        <v>96</v>
      </c>
      <c r="E741" s="2" t="s">
        <v>532</v>
      </c>
      <c r="F741" s="379"/>
      <c r="G741" s="382" t="s">
        <v>533</v>
      </c>
      <c r="H741" s="2">
        <f>D744</f>
        <v>9.4</v>
      </c>
      <c r="I741" s="2" t="s">
        <v>534</v>
      </c>
      <c r="J741" s="379"/>
      <c r="K741" s="455"/>
      <c r="L741" s="455"/>
      <c r="M741" s="455"/>
      <c r="N741" s="381"/>
      <c r="O741" s="229"/>
      <c r="P741"/>
      <c r="Q741"/>
      <c r="T741"/>
    </row>
    <row r="742" spans="1:20" ht="27" customHeight="1" x14ac:dyDescent="0.3">
      <c r="A742" s="228"/>
      <c r="B742" s="47"/>
      <c r="C742" s="382" t="s">
        <v>535</v>
      </c>
      <c r="D742" s="11">
        <v>40</v>
      </c>
      <c r="E742" s="2" t="s">
        <v>518</v>
      </c>
      <c r="F742" s="379"/>
      <c r="G742" s="382" t="s">
        <v>536</v>
      </c>
      <c r="H742" s="2">
        <v>175</v>
      </c>
      <c r="I742" s="21" t="s">
        <v>537</v>
      </c>
      <c r="J742" s="379"/>
      <c r="K742" s="379"/>
      <c r="L742" s="375"/>
      <c r="M742" s="379"/>
      <c r="N742" s="381"/>
      <c r="O742" s="229"/>
      <c r="P742"/>
      <c r="Q742"/>
      <c r="T742"/>
    </row>
    <row r="743" spans="1:20" ht="27" customHeight="1" x14ac:dyDescent="0.3">
      <c r="A743" s="228"/>
      <c r="B743" s="47"/>
      <c r="C743" s="382" t="s">
        <v>538</v>
      </c>
      <c r="D743" s="11">
        <v>25</v>
      </c>
      <c r="E743" s="2" t="s">
        <v>518</v>
      </c>
      <c r="F743" s="379"/>
      <c r="G743" s="2"/>
      <c r="H743" s="21"/>
      <c r="I743" s="21"/>
      <c r="J743" s="379"/>
      <c r="K743" s="379"/>
      <c r="L743" s="375"/>
      <c r="M743" s="379"/>
      <c r="N743" s="381"/>
      <c r="O743" s="229"/>
      <c r="P743"/>
      <c r="Q743"/>
      <c r="T743"/>
    </row>
    <row r="744" spans="1:20" ht="27" customHeight="1" x14ac:dyDescent="0.3">
      <c r="A744" s="228"/>
      <c r="B744" s="47"/>
      <c r="C744" s="382" t="s">
        <v>539</v>
      </c>
      <c r="D744" s="2">
        <v>9.4</v>
      </c>
      <c r="E744" s="2" t="s">
        <v>534</v>
      </c>
      <c r="F744" s="379"/>
      <c r="G744" s="389" t="s">
        <v>540</v>
      </c>
      <c r="H744" s="390">
        <f>((D739*D740)/(H741*H742))*(LN((H739-H737)/(H740-H737)))</f>
        <v>0.25793012917885766</v>
      </c>
      <c r="I744" s="389" t="s">
        <v>541</v>
      </c>
      <c r="J744" s="379"/>
      <c r="K744" s="388"/>
      <c r="L744" s="391"/>
      <c r="M744" s="388"/>
      <c r="N744" s="381"/>
      <c r="O744" s="229"/>
      <c r="P744"/>
      <c r="Q744"/>
      <c r="T744"/>
    </row>
    <row r="745" spans="1:20" ht="27" customHeight="1" x14ac:dyDescent="0.3">
      <c r="A745" s="228"/>
      <c r="B745" s="47"/>
      <c r="C745" s="392" t="s">
        <v>542</v>
      </c>
      <c r="D745" s="393">
        <f>D739*D740*(D742-D743)</f>
        <v>10500</v>
      </c>
      <c r="E745" s="389" t="s">
        <v>543</v>
      </c>
      <c r="F745" s="379"/>
      <c r="G745" s="670" t="s">
        <v>544</v>
      </c>
      <c r="H745" s="671"/>
      <c r="I745" s="672"/>
      <c r="J745" s="379"/>
      <c r="K745" s="388"/>
      <c r="L745" s="397"/>
      <c r="M745" s="388"/>
      <c r="N745" s="381"/>
      <c r="O745" s="229"/>
      <c r="P745"/>
      <c r="Q745"/>
      <c r="T745"/>
    </row>
    <row r="746" spans="1:20" ht="27" customHeight="1" x14ac:dyDescent="0.3">
      <c r="A746" s="228"/>
      <c r="B746" s="47"/>
      <c r="C746" s="379"/>
      <c r="D746" s="375"/>
      <c r="E746" s="379"/>
      <c r="F746" s="379"/>
      <c r="G746" s="398" t="s">
        <v>545</v>
      </c>
      <c r="H746" s="399">
        <v>10</v>
      </c>
      <c r="I746" s="400" t="s">
        <v>546</v>
      </c>
      <c r="J746" s="379"/>
      <c r="K746" s="388"/>
      <c r="L746" s="401"/>
      <c r="M746" s="401"/>
      <c r="N746" s="381"/>
      <c r="O746" s="229"/>
      <c r="P746"/>
      <c r="Q746"/>
      <c r="T746"/>
    </row>
    <row r="747" spans="1:20" ht="27" customHeight="1" x14ac:dyDescent="0.3">
      <c r="A747" s="228"/>
      <c r="B747" s="47"/>
      <c r="C747" s="379"/>
      <c r="D747" s="375"/>
      <c r="E747" s="379"/>
      <c r="F747" s="379"/>
      <c r="G747" s="398" t="s">
        <v>545</v>
      </c>
      <c r="H747" s="404">
        <f>H746/60</f>
        <v>0.16666666666666666</v>
      </c>
      <c r="I747" s="400" t="s">
        <v>541</v>
      </c>
      <c r="J747" s="379"/>
      <c r="K747" s="388"/>
      <c r="L747" s="401"/>
      <c r="M747" s="401"/>
      <c r="N747" s="381"/>
      <c r="O747" s="229"/>
      <c r="P747"/>
      <c r="Q747"/>
      <c r="T747"/>
    </row>
    <row r="748" spans="1:20" ht="27" customHeight="1" x14ac:dyDescent="0.3">
      <c r="A748" s="228"/>
      <c r="B748" s="47"/>
      <c r="C748"/>
      <c r="D748"/>
      <c r="E748"/>
      <c r="F748"/>
      <c r="G748"/>
      <c r="H748"/>
      <c r="I748"/>
      <c r="J748"/>
      <c r="K748"/>
      <c r="L748"/>
      <c r="M748"/>
      <c r="N748" s="381"/>
      <c r="O748" s="229"/>
      <c r="P748"/>
      <c r="Q748"/>
      <c r="T748"/>
    </row>
    <row r="749" spans="1:20" ht="30" customHeight="1" thickBot="1" x14ac:dyDescent="0.35">
      <c r="B749" s="402"/>
      <c r="C749" s="458"/>
      <c r="D749" s="405"/>
      <c r="E749" s="405"/>
      <c r="F749" s="458"/>
      <c r="G749" s="220"/>
      <c r="H749" s="220"/>
      <c r="I749" s="220"/>
      <c r="J749" s="458"/>
      <c r="K749" s="459"/>
      <c r="L749" s="460"/>
      <c r="M749" s="460"/>
      <c r="N749" s="461"/>
    </row>
    <row r="750" spans="1:20" ht="31.5" customHeight="1" thickBot="1" x14ac:dyDescent="0.35">
      <c r="B750" s="676" t="s">
        <v>589</v>
      </c>
      <c r="C750" s="677"/>
      <c r="D750" s="677"/>
      <c r="E750" s="677"/>
      <c r="F750" s="677"/>
      <c r="G750" s="677"/>
      <c r="H750" s="677"/>
      <c r="I750" s="677"/>
      <c r="J750" s="677"/>
      <c r="K750" s="677"/>
      <c r="L750" s="677"/>
      <c r="M750" s="677"/>
      <c r="N750" s="678"/>
    </row>
    <row r="751" spans="1:20" ht="52.95" customHeight="1" x14ac:dyDescent="0.3">
      <c r="A751" s="228"/>
      <c r="B751" s="365" t="s">
        <v>498</v>
      </c>
      <c r="C751" s="366" t="s">
        <v>499</v>
      </c>
      <c r="D751" s="366" t="s">
        <v>500</v>
      </c>
      <c r="E751" s="366" t="s">
        <v>501</v>
      </c>
      <c r="F751" s="366" t="s">
        <v>502</v>
      </c>
      <c r="G751" s="366" t="s">
        <v>574</v>
      </c>
      <c r="H751" s="366" t="s">
        <v>504</v>
      </c>
      <c r="I751" s="366" t="s">
        <v>505</v>
      </c>
      <c r="J751" s="366" t="s">
        <v>506</v>
      </c>
      <c r="K751" s="366" t="s">
        <v>507</v>
      </c>
      <c r="L751" s="366" t="s">
        <v>562</v>
      </c>
      <c r="M751" s="716" t="s">
        <v>563</v>
      </c>
      <c r="N751" s="717"/>
      <c r="O751" s="229"/>
      <c r="P751"/>
      <c r="Q751"/>
      <c r="T751"/>
    </row>
    <row r="752" spans="1:20" ht="30" customHeight="1" thickBot="1" x14ac:dyDescent="0.35">
      <c r="A752" s="228"/>
      <c r="B752" s="369">
        <v>3</v>
      </c>
      <c r="C752" s="222" t="s">
        <v>555</v>
      </c>
      <c r="D752" s="222">
        <v>10</v>
      </c>
      <c r="E752" s="212" t="s">
        <v>511</v>
      </c>
      <c r="F752" s="222" t="s">
        <v>96</v>
      </c>
      <c r="G752" s="222">
        <v>90</v>
      </c>
      <c r="H752" s="456" t="s">
        <v>96</v>
      </c>
      <c r="I752" s="212" t="s">
        <v>96</v>
      </c>
      <c r="J752" s="212" t="s">
        <v>96</v>
      </c>
      <c r="K752" s="457">
        <f>xx!I106/xx!J105</f>
        <v>0.26666666666666666</v>
      </c>
      <c r="L752" s="371">
        <f>H766</f>
        <v>1</v>
      </c>
      <c r="M752" s="718">
        <f>L757</f>
        <v>279.41176470588238</v>
      </c>
      <c r="N752" s="719"/>
      <c r="O752" s="229"/>
      <c r="P752"/>
      <c r="Q752"/>
      <c r="T752"/>
    </row>
    <row r="753" spans="1:20" ht="30" customHeight="1" x14ac:dyDescent="0.3">
      <c r="A753" s="228"/>
      <c r="B753" s="683"/>
      <c r="C753" s="628"/>
      <c r="D753" s="628"/>
      <c r="E753" s="628"/>
      <c r="F753" s="628"/>
      <c r="G753" s="628"/>
      <c r="H753" s="628"/>
      <c r="I753" s="628"/>
      <c r="J753" s="628"/>
      <c r="K753" s="628"/>
      <c r="L753" s="628"/>
      <c r="M753" s="628"/>
      <c r="N753" s="629"/>
      <c r="O753" s="229"/>
      <c r="P753"/>
      <c r="Q753"/>
      <c r="T753"/>
    </row>
    <row r="754" spans="1:20" ht="30" customHeight="1" x14ac:dyDescent="0.3">
      <c r="A754" s="228"/>
      <c r="B754" s="47"/>
      <c r="C754" s="673" t="s">
        <v>564</v>
      </c>
      <c r="D754" s="674"/>
      <c r="E754" s="675"/>
      <c r="F754" s="375"/>
      <c r="G754" s="673" t="s">
        <v>565</v>
      </c>
      <c r="H754" s="674"/>
      <c r="I754" s="675"/>
      <c r="J754" s="375"/>
      <c r="K754" s="673" t="s">
        <v>566</v>
      </c>
      <c r="L754" s="674"/>
      <c r="M754" s="675"/>
      <c r="N754" s="376"/>
      <c r="O754" s="229"/>
      <c r="P754"/>
      <c r="Q754"/>
      <c r="T754"/>
    </row>
    <row r="755" spans="1:20" ht="30" customHeight="1" x14ac:dyDescent="0.3">
      <c r="A755" s="228"/>
      <c r="B755" s="47"/>
      <c r="C755" s="438"/>
      <c r="D755" s="439"/>
      <c r="E755" s="440"/>
      <c r="F755" s="420"/>
      <c r="G755" s="441"/>
      <c r="H755" s="420"/>
      <c r="I755" s="442"/>
      <c r="J755" s="420"/>
      <c r="K755" s="443"/>
      <c r="L755" s="420"/>
      <c r="M755" s="444"/>
      <c r="N755" s="376"/>
      <c r="O755" s="229"/>
      <c r="P755"/>
      <c r="Q755"/>
      <c r="T755"/>
    </row>
    <row r="756" spans="1:20" ht="30" customHeight="1" x14ac:dyDescent="0.3">
      <c r="A756" s="228"/>
      <c r="B756" s="47"/>
      <c r="C756" s="382" t="s">
        <v>515</v>
      </c>
      <c r="D756" s="11">
        <f>D752</f>
        <v>10</v>
      </c>
      <c r="E756" s="2" t="s">
        <v>516</v>
      </c>
      <c r="F756" s="420"/>
      <c r="G756" s="382" t="s">
        <v>517</v>
      </c>
      <c r="H756" s="3">
        <v>143</v>
      </c>
      <c r="I756" s="2" t="s">
        <v>518</v>
      </c>
      <c r="J756" s="420"/>
      <c r="K756" s="21" t="s">
        <v>519</v>
      </c>
      <c r="L756" s="445">
        <f>D765/H766</f>
        <v>142500</v>
      </c>
      <c r="M756" s="2" t="s">
        <v>520</v>
      </c>
      <c r="N756" s="376"/>
      <c r="O756" s="229"/>
      <c r="P756"/>
      <c r="Q756"/>
      <c r="T756"/>
    </row>
    <row r="757" spans="1:20" ht="37.5" customHeight="1" x14ac:dyDescent="0.3">
      <c r="A757" s="228"/>
      <c r="B757" s="47"/>
      <c r="C757" s="382" t="s">
        <v>521</v>
      </c>
      <c r="D757" s="11" t="s">
        <v>96</v>
      </c>
      <c r="E757" s="2" t="s">
        <v>522</v>
      </c>
      <c r="F757" s="420"/>
      <c r="G757" s="382" t="s">
        <v>523</v>
      </c>
      <c r="H757" s="11">
        <f>D759</f>
        <v>0.7</v>
      </c>
      <c r="I757" s="2" t="s">
        <v>524</v>
      </c>
      <c r="J757" s="420"/>
      <c r="K757" s="431" t="s">
        <v>569</v>
      </c>
      <c r="L757" s="432">
        <f>L756/D764</f>
        <v>279.41176470588238</v>
      </c>
      <c r="M757" s="349" t="s">
        <v>570</v>
      </c>
      <c r="N757" s="376"/>
      <c r="O757" s="229"/>
      <c r="P757"/>
      <c r="Q757"/>
      <c r="T757"/>
    </row>
    <row r="758" spans="1:20" ht="30" customHeight="1" x14ac:dyDescent="0.3">
      <c r="A758" s="228"/>
      <c r="B758" s="47"/>
      <c r="C758" s="382" t="s">
        <v>526</v>
      </c>
      <c r="D758" s="3">
        <f>xx!J105</f>
        <v>2250</v>
      </c>
      <c r="E758" s="2" t="s">
        <v>527</v>
      </c>
      <c r="F758" s="420"/>
      <c r="G758" s="382" t="s">
        <v>528</v>
      </c>
      <c r="H758" s="11">
        <f>D761</f>
        <v>30</v>
      </c>
      <c r="I758" s="2" t="s">
        <v>518</v>
      </c>
      <c r="J758" s="420"/>
      <c r="K758" s="420"/>
      <c r="L758" s="449"/>
      <c r="M758" s="420"/>
      <c r="N758" s="376"/>
      <c r="O758" s="229"/>
      <c r="P758"/>
      <c r="Q758"/>
      <c r="T758"/>
    </row>
    <row r="759" spans="1:20" ht="30" customHeight="1" x14ac:dyDescent="0.3">
      <c r="A759" s="228"/>
      <c r="B759" s="47"/>
      <c r="C759" s="382" t="s">
        <v>529</v>
      </c>
      <c r="D759" s="11">
        <v>0.7</v>
      </c>
      <c r="E759" s="2" t="s">
        <v>524</v>
      </c>
      <c r="F759" s="420"/>
      <c r="G759" s="382" t="s">
        <v>530</v>
      </c>
      <c r="H759" s="11">
        <f>D762</f>
        <v>90</v>
      </c>
      <c r="I759" s="2" t="s">
        <v>518</v>
      </c>
      <c r="J759" s="420"/>
      <c r="K759" s="420"/>
      <c r="L759" s="449"/>
      <c r="M759" s="420"/>
      <c r="N759" s="376"/>
      <c r="O759" s="229"/>
      <c r="P759"/>
      <c r="Q759"/>
      <c r="T759"/>
    </row>
    <row r="760" spans="1:20" ht="30" customHeight="1" x14ac:dyDescent="0.3">
      <c r="A760" s="228"/>
      <c r="B760" s="47"/>
      <c r="C760" s="382" t="s">
        <v>531</v>
      </c>
      <c r="D760" s="383">
        <v>80</v>
      </c>
      <c r="E760" s="2" t="s">
        <v>532</v>
      </c>
      <c r="F760" s="420"/>
      <c r="G760" s="382" t="s">
        <v>533</v>
      </c>
      <c r="H760" s="11">
        <f>D763</f>
        <v>21</v>
      </c>
      <c r="I760" s="2" t="s">
        <v>534</v>
      </c>
      <c r="J760" s="420"/>
      <c r="K760" s="420"/>
      <c r="L760" s="375"/>
      <c r="M760" s="420"/>
      <c r="N760" s="376"/>
      <c r="O760" s="229"/>
      <c r="P760"/>
      <c r="Q760"/>
      <c r="T760"/>
    </row>
    <row r="761" spans="1:20" ht="30" customHeight="1" x14ac:dyDescent="0.3">
      <c r="A761" s="228"/>
      <c r="B761" s="47"/>
      <c r="C761" s="382" t="s">
        <v>535</v>
      </c>
      <c r="D761" s="11">
        <v>30</v>
      </c>
      <c r="E761" s="2" t="s">
        <v>518</v>
      </c>
      <c r="F761" s="420"/>
      <c r="G761" s="382" t="s">
        <v>536</v>
      </c>
      <c r="H761" s="2">
        <v>400</v>
      </c>
      <c r="I761" s="21" t="s">
        <v>537</v>
      </c>
      <c r="J761" s="420"/>
      <c r="K761" s="420"/>
      <c r="L761" s="420"/>
      <c r="M761" s="420"/>
      <c r="N761" s="376"/>
      <c r="O761" s="229"/>
      <c r="P761"/>
      <c r="Q761"/>
      <c r="T761"/>
    </row>
    <row r="762" spans="1:20" ht="30" customHeight="1" x14ac:dyDescent="0.3">
      <c r="A762" s="228"/>
      <c r="B762" s="47"/>
      <c r="C762" s="382" t="s">
        <v>538</v>
      </c>
      <c r="D762" s="11">
        <v>90</v>
      </c>
      <c r="E762" s="2" t="s">
        <v>518</v>
      </c>
      <c r="F762" s="420"/>
      <c r="G762" s="2"/>
      <c r="H762" s="21"/>
      <c r="I762" s="21"/>
      <c r="J762" s="420"/>
      <c r="K762" s="420"/>
      <c r="L762" s="420"/>
      <c r="M762" s="420"/>
      <c r="N762" s="376"/>
      <c r="O762" s="229"/>
      <c r="P762"/>
      <c r="Q762"/>
      <c r="T762"/>
    </row>
    <row r="763" spans="1:20" ht="30" customHeight="1" x14ac:dyDescent="0.3">
      <c r="A763" s="228"/>
      <c r="B763" s="47"/>
      <c r="C763" s="382" t="s">
        <v>539</v>
      </c>
      <c r="D763" s="11">
        <v>21</v>
      </c>
      <c r="E763" s="2" t="s">
        <v>534</v>
      </c>
      <c r="F763" s="420"/>
      <c r="G763" s="389" t="s">
        <v>540</v>
      </c>
      <c r="H763" s="390">
        <f>(((D758*D759*(D762-D761))/(H760*H761))*(LN((H756-H758)/(H756-H759))))</f>
        <v>8.5173289330524629</v>
      </c>
      <c r="I763" s="389" t="s">
        <v>541</v>
      </c>
      <c r="J763" s="420"/>
      <c r="K763" s="420"/>
      <c r="L763" s="420"/>
      <c r="M763" s="420"/>
      <c r="N763" s="376"/>
      <c r="O763" s="229"/>
      <c r="P763"/>
      <c r="Q763"/>
      <c r="T763"/>
    </row>
    <row r="764" spans="1:20" ht="30" customHeight="1" x14ac:dyDescent="0.3">
      <c r="A764" s="228"/>
      <c r="B764" s="47"/>
      <c r="C764" s="382" t="s">
        <v>571</v>
      </c>
      <c r="D764" s="11">
        <v>510</v>
      </c>
      <c r="E764" s="2" t="s">
        <v>572</v>
      </c>
      <c r="F764" s="420"/>
      <c r="G764" s="670" t="s">
        <v>567</v>
      </c>
      <c r="H764" s="671"/>
      <c r="I764" s="672"/>
      <c r="J764" s="420"/>
      <c r="K764" s="420"/>
      <c r="L764" s="420"/>
      <c r="M764" s="420"/>
      <c r="N764" s="376"/>
      <c r="O764" s="229"/>
      <c r="P764"/>
      <c r="Q764"/>
      <c r="T764"/>
    </row>
    <row r="765" spans="1:20" ht="30" customHeight="1" x14ac:dyDescent="0.3">
      <c r="A765" s="228"/>
      <c r="B765" s="47"/>
      <c r="C765" s="392" t="s">
        <v>573</v>
      </c>
      <c r="D765" s="393">
        <f>(D758*D759*(D762-D761)+D758*D760*K752)</f>
        <v>142500</v>
      </c>
      <c r="E765" s="389" t="s">
        <v>543</v>
      </c>
      <c r="F765" s="420"/>
      <c r="G765" s="398" t="s">
        <v>568</v>
      </c>
      <c r="H765" s="399">
        <v>60</v>
      </c>
      <c r="I765" s="400" t="s">
        <v>546</v>
      </c>
      <c r="J765" s="420"/>
      <c r="K765" s="420"/>
      <c r="L765" s="420"/>
      <c r="M765" s="420"/>
      <c r="N765" s="376"/>
      <c r="O765" s="229"/>
      <c r="P765"/>
      <c r="Q765"/>
      <c r="T765"/>
    </row>
    <row r="766" spans="1:20" ht="30" customHeight="1" x14ac:dyDescent="0.3">
      <c r="A766" s="228"/>
      <c r="B766" s="47"/>
      <c r="C766"/>
      <c r="D766"/>
      <c r="E766"/>
      <c r="F766"/>
      <c r="G766" s="398" t="s">
        <v>568</v>
      </c>
      <c r="H766" s="404">
        <f>H765/60</f>
        <v>1</v>
      </c>
      <c r="I766" s="400" t="s">
        <v>541</v>
      </c>
      <c r="J766" s="379"/>
      <c r="K766" s="388"/>
      <c r="L766" s="401"/>
      <c r="M766" s="401"/>
      <c r="N766" s="381"/>
      <c r="O766" s="229"/>
      <c r="P766"/>
      <c r="Q766"/>
      <c r="T766"/>
    </row>
    <row r="767" spans="1:20" ht="30" customHeight="1" thickBot="1" x14ac:dyDescent="0.35">
      <c r="A767" s="228"/>
      <c r="B767" s="47"/>
      <c r="C767"/>
      <c r="D767" s="410"/>
      <c r="E767" s="410"/>
      <c r="F767" s="379"/>
      <c r="G767"/>
      <c r="H767"/>
      <c r="I767"/>
      <c r="J767" s="379"/>
      <c r="K767" s="388"/>
      <c r="L767" s="401"/>
      <c r="M767" s="401"/>
      <c r="N767" s="381"/>
      <c r="O767" s="229"/>
      <c r="P767"/>
      <c r="Q767"/>
      <c r="T767"/>
    </row>
    <row r="768" spans="1:20" ht="57.45" customHeight="1" x14ac:dyDescent="0.3">
      <c r="A768" s="228"/>
      <c r="B768" s="365" t="s">
        <v>498</v>
      </c>
      <c r="C768" s="366" t="s">
        <v>499</v>
      </c>
      <c r="D768" s="366" t="s">
        <v>500</v>
      </c>
      <c r="E768" s="366" t="s">
        <v>501</v>
      </c>
      <c r="F768" s="366" t="s">
        <v>502</v>
      </c>
      <c r="G768" s="366" t="s">
        <v>574</v>
      </c>
      <c r="H768" s="366" t="s">
        <v>504</v>
      </c>
      <c r="I768" s="366" t="s">
        <v>505</v>
      </c>
      <c r="J768" s="366" t="s">
        <v>506</v>
      </c>
      <c r="K768" s="366" t="s">
        <v>507</v>
      </c>
      <c r="L768" s="366" t="s">
        <v>562</v>
      </c>
      <c r="M768" s="679" t="s">
        <v>563</v>
      </c>
      <c r="N768" s="680"/>
      <c r="O768" s="229"/>
      <c r="P768"/>
      <c r="Q768"/>
      <c r="T768"/>
    </row>
    <row r="769" spans="1:20" ht="30" customHeight="1" thickBot="1" x14ac:dyDescent="0.35">
      <c r="A769" s="228"/>
      <c r="B769" s="369">
        <v>4</v>
      </c>
      <c r="C769" s="222" t="s">
        <v>555</v>
      </c>
      <c r="D769" s="222">
        <v>10</v>
      </c>
      <c r="E769" s="212" t="s">
        <v>511</v>
      </c>
      <c r="F769" s="222" t="s">
        <v>96</v>
      </c>
      <c r="G769" s="222">
        <v>90</v>
      </c>
      <c r="H769" s="456" t="e">
        <f>(#REF!/#REF!)/#REF!</f>
        <v>#REF!</v>
      </c>
      <c r="I769" s="212" t="s">
        <v>96</v>
      </c>
      <c r="J769" s="212" t="s">
        <v>96</v>
      </c>
      <c r="K769" s="457">
        <f>xx!I107/xx!J106</f>
        <v>0.66666666666666663</v>
      </c>
      <c r="L769" s="371">
        <f>H783</f>
        <v>2</v>
      </c>
      <c r="M769" s="681">
        <f>L774</f>
        <v>86.274509803921575</v>
      </c>
      <c r="N769" s="682"/>
      <c r="O769" s="229"/>
      <c r="P769"/>
      <c r="Q769"/>
      <c r="T769"/>
    </row>
    <row r="770" spans="1:20" ht="30" customHeight="1" x14ac:dyDescent="0.3">
      <c r="A770" s="228"/>
      <c r="B770" s="683"/>
      <c r="C770" s="628"/>
      <c r="D770" s="628"/>
      <c r="E770" s="628"/>
      <c r="F770" s="628"/>
      <c r="G770" s="628"/>
      <c r="H770" s="628"/>
      <c r="I770" s="628"/>
      <c r="J770" s="628"/>
      <c r="K770" s="628"/>
      <c r="L770" s="628"/>
      <c r="M770" s="628"/>
      <c r="N770" s="629"/>
      <c r="O770" s="229"/>
      <c r="P770"/>
      <c r="Q770"/>
      <c r="T770"/>
    </row>
    <row r="771" spans="1:20" ht="30" customHeight="1" x14ac:dyDescent="0.3">
      <c r="A771" s="228"/>
      <c r="B771" s="47"/>
      <c r="C771" s="673" t="s">
        <v>564</v>
      </c>
      <c r="D771" s="674"/>
      <c r="E771" s="675"/>
      <c r="F771" s="375"/>
      <c r="G771" s="673" t="s">
        <v>565</v>
      </c>
      <c r="H771" s="674"/>
      <c r="I771" s="675"/>
      <c r="J771" s="375"/>
      <c r="K771" s="673" t="s">
        <v>566</v>
      </c>
      <c r="L771" s="674"/>
      <c r="M771" s="675"/>
      <c r="N771" s="376"/>
      <c r="O771" s="229"/>
      <c r="P771"/>
      <c r="Q771"/>
      <c r="T771"/>
    </row>
    <row r="772" spans="1:20" ht="30" customHeight="1" x14ac:dyDescent="0.3">
      <c r="A772" s="228"/>
      <c r="B772" s="47"/>
      <c r="C772" s="438"/>
      <c r="D772" s="439"/>
      <c r="E772" s="440"/>
      <c r="F772" s="420"/>
      <c r="G772" s="441"/>
      <c r="H772" s="420"/>
      <c r="I772" s="442"/>
      <c r="J772" s="420"/>
      <c r="K772" s="443"/>
      <c r="L772" s="420"/>
      <c r="M772" s="444"/>
      <c r="N772" s="376"/>
      <c r="O772" s="229"/>
      <c r="P772"/>
      <c r="Q772"/>
      <c r="T772"/>
    </row>
    <row r="773" spans="1:20" ht="30" customHeight="1" x14ac:dyDescent="0.3">
      <c r="A773" s="228"/>
      <c r="B773" s="47"/>
      <c r="C773" s="382" t="s">
        <v>515</v>
      </c>
      <c r="D773" s="11">
        <f>D769</f>
        <v>10</v>
      </c>
      <c r="E773" s="2" t="s">
        <v>516</v>
      </c>
      <c r="F773" s="420"/>
      <c r="G773" s="382" t="s">
        <v>517</v>
      </c>
      <c r="H773" s="3">
        <v>143</v>
      </c>
      <c r="I773" s="2" t="s">
        <v>518</v>
      </c>
      <c r="J773" s="420"/>
      <c r="K773" s="21" t="s">
        <v>519</v>
      </c>
      <c r="L773" s="445">
        <f>D782/H783</f>
        <v>44000</v>
      </c>
      <c r="M773" s="2" t="s">
        <v>520</v>
      </c>
      <c r="N773" s="376"/>
      <c r="O773" s="229"/>
      <c r="P773"/>
      <c r="Q773"/>
      <c r="T773"/>
    </row>
    <row r="774" spans="1:20" ht="37.5" customHeight="1" x14ac:dyDescent="0.3">
      <c r="A774" s="228"/>
      <c r="B774" s="47"/>
      <c r="C774" s="382" t="s">
        <v>521</v>
      </c>
      <c r="D774" s="11" t="s">
        <v>96</v>
      </c>
      <c r="E774" s="2" t="s">
        <v>522</v>
      </c>
      <c r="F774" s="420"/>
      <c r="G774" s="382" t="s">
        <v>523</v>
      </c>
      <c r="H774" s="11">
        <f>D776</f>
        <v>0.7</v>
      </c>
      <c r="I774" s="2" t="s">
        <v>524</v>
      </c>
      <c r="J774" s="420"/>
      <c r="K774" s="431" t="s">
        <v>569</v>
      </c>
      <c r="L774" s="432">
        <f>L773/D781</f>
        <v>86.274509803921575</v>
      </c>
      <c r="M774" s="349" t="s">
        <v>570</v>
      </c>
      <c r="N774" s="376"/>
      <c r="O774" s="229"/>
      <c r="P774"/>
      <c r="Q774"/>
      <c r="T774"/>
    </row>
    <row r="775" spans="1:20" ht="30" customHeight="1" x14ac:dyDescent="0.3">
      <c r="A775" s="228"/>
      <c r="B775" s="47"/>
      <c r="C775" s="382" t="s">
        <v>526</v>
      </c>
      <c r="D775" s="3">
        <f>xx!I107</f>
        <v>1100</v>
      </c>
      <c r="E775" s="2" t="s">
        <v>527</v>
      </c>
      <c r="F775" s="420"/>
      <c r="G775" s="382" t="s">
        <v>528</v>
      </c>
      <c r="H775" s="11">
        <f>D778</f>
        <v>90</v>
      </c>
      <c r="I775" s="2" t="s">
        <v>518</v>
      </c>
      <c r="J775" s="420"/>
      <c r="K775" s="420"/>
      <c r="L775" s="449"/>
      <c r="M775" s="420"/>
      <c r="N775" s="376"/>
      <c r="O775" s="229"/>
      <c r="P775"/>
      <c r="Q775"/>
      <c r="T775"/>
    </row>
    <row r="776" spans="1:20" ht="30" customHeight="1" x14ac:dyDescent="0.3">
      <c r="A776" s="228"/>
      <c r="B776" s="47"/>
      <c r="C776" s="382" t="s">
        <v>529</v>
      </c>
      <c r="D776" s="11">
        <v>0.7</v>
      </c>
      <c r="E776" s="2" t="s">
        <v>524</v>
      </c>
      <c r="F776" s="420"/>
      <c r="G776" s="382" t="s">
        <v>530</v>
      </c>
      <c r="H776" s="11">
        <f>D779</f>
        <v>90</v>
      </c>
      <c r="I776" s="2" t="s">
        <v>518</v>
      </c>
      <c r="J776" s="420"/>
      <c r="K776" s="420"/>
      <c r="L776" s="449"/>
      <c r="M776" s="420"/>
      <c r="N776" s="376"/>
      <c r="O776" s="229"/>
      <c r="P776"/>
      <c r="Q776"/>
      <c r="T776"/>
    </row>
    <row r="777" spans="1:20" ht="30" customHeight="1" x14ac:dyDescent="0.3">
      <c r="A777" s="228"/>
      <c r="B777" s="47"/>
      <c r="C777" s="382" t="s">
        <v>531</v>
      </c>
      <c r="D777" s="383">
        <v>80</v>
      </c>
      <c r="E777" s="2" t="s">
        <v>532</v>
      </c>
      <c r="F777" s="420"/>
      <c r="G777" s="382" t="s">
        <v>533</v>
      </c>
      <c r="H777" s="11">
        <f>D780</f>
        <v>21</v>
      </c>
      <c r="I777" s="2" t="s">
        <v>534</v>
      </c>
      <c r="J777" s="420"/>
      <c r="K777" s="420"/>
      <c r="L777" s="375"/>
      <c r="M777" s="420"/>
      <c r="N777" s="376"/>
      <c r="O777" s="229"/>
      <c r="P777"/>
      <c r="Q777"/>
      <c r="T777"/>
    </row>
    <row r="778" spans="1:20" ht="30" customHeight="1" x14ac:dyDescent="0.3">
      <c r="A778" s="228"/>
      <c r="B778" s="47"/>
      <c r="C778" s="382" t="s">
        <v>535</v>
      </c>
      <c r="D778" s="11">
        <v>90</v>
      </c>
      <c r="E778" s="2" t="s">
        <v>518</v>
      </c>
      <c r="F778" s="420"/>
      <c r="G778" s="382" t="s">
        <v>536</v>
      </c>
      <c r="H778" s="2">
        <v>400</v>
      </c>
      <c r="I778" s="21" t="s">
        <v>537</v>
      </c>
      <c r="J778" s="420"/>
      <c r="K778" s="420"/>
      <c r="L778" s="420"/>
      <c r="M778" s="420"/>
      <c r="N778" s="376"/>
      <c r="O778" s="229"/>
      <c r="P778"/>
      <c r="Q778"/>
      <c r="T778"/>
    </row>
    <row r="779" spans="1:20" ht="30" customHeight="1" x14ac:dyDescent="0.3">
      <c r="A779" s="228"/>
      <c r="B779" s="47"/>
      <c r="C779" s="382" t="s">
        <v>538</v>
      </c>
      <c r="D779" s="11">
        <v>90</v>
      </c>
      <c r="E779" s="2" t="s">
        <v>518</v>
      </c>
      <c r="F779" s="420"/>
      <c r="G779" s="2"/>
      <c r="H779" s="21"/>
      <c r="I779" s="21"/>
      <c r="J779" s="420"/>
      <c r="K779" s="420"/>
      <c r="L779" s="420"/>
      <c r="M779" s="420"/>
      <c r="N779" s="376"/>
      <c r="O779" s="229"/>
      <c r="P779"/>
      <c r="Q779"/>
      <c r="T779"/>
    </row>
    <row r="780" spans="1:20" ht="30" customHeight="1" x14ac:dyDescent="0.3">
      <c r="A780" s="228"/>
      <c r="B780" s="47"/>
      <c r="C780" s="382" t="s">
        <v>539</v>
      </c>
      <c r="D780" s="11">
        <v>21</v>
      </c>
      <c r="E780" s="2" t="s">
        <v>534</v>
      </c>
      <c r="F780" s="420"/>
      <c r="G780" s="389" t="s">
        <v>540</v>
      </c>
      <c r="H780" s="390" t="e">
        <f>(H769*D781*D777)/(H777*H778*(H773-H775))</f>
        <v>#REF!</v>
      </c>
      <c r="I780" s="389" t="s">
        <v>541</v>
      </c>
      <c r="J780" s="420"/>
      <c r="K780" s="420"/>
      <c r="L780" s="420"/>
      <c r="M780" s="420"/>
      <c r="N780" s="376"/>
      <c r="O780" s="229"/>
      <c r="P780"/>
      <c r="Q780"/>
      <c r="T780"/>
    </row>
    <row r="781" spans="1:20" ht="30" customHeight="1" x14ac:dyDescent="0.3">
      <c r="A781" s="228"/>
      <c r="B781" s="47"/>
      <c r="C781" s="382" t="s">
        <v>571</v>
      </c>
      <c r="D781" s="11">
        <v>510</v>
      </c>
      <c r="E781" s="2" t="s">
        <v>572</v>
      </c>
      <c r="F781" s="420"/>
      <c r="G781" s="670" t="s">
        <v>567</v>
      </c>
      <c r="H781" s="671"/>
      <c r="I781" s="672"/>
      <c r="J781" s="420"/>
      <c r="K781" s="420"/>
      <c r="L781" s="420"/>
      <c r="M781" s="420"/>
      <c r="N781" s="376"/>
      <c r="O781" s="229"/>
      <c r="P781"/>
      <c r="Q781"/>
      <c r="T781"/>
    </row>
    <row r="782" spans="1:20" ht="30" customHeight="1" x14ac:dyDescent="0.3">
      <c r="A782" s="228"/>
      <c r="B782" s="47"/>
      <c r="C782" s="392" t="s">
        <v>573</v>
      </c>
      <c r="D782" s="393">
        <f>(D775*D777)</f>
        <v>88000</v>
      </c>
      <c r="E782" s="389" t="s">
        <v>543</v>
      </c>
      <c r="F782" s="420"/>
      <c r="G782" s="398" t="s">
        <v>568</v>
      </c>
      <c r="H782" s="399">
        <v>120</v>
      </c>
      <c r="I782" s="400" t="s">
        <v>546</v>
      </c>
      <c r="J782" s="420"/>
      <c r="K782" s="420"/>
      <c r="L782" s="420"/>
      <c r="M782" s="420"/>
      <c r="N782" s="376"/>
      <c r="O782" s="229"/>
      <c r="P782"/>
      <c r="Q782"/>
      <c r="T782"/>
    </row>
    <row r="783" spans="1:20" ht="30" customHeight="1" x14ac:dyDescent="0.3">
      <c r="A783" s="228"/>
      <c r="B783" s="47"/>
      <c r="C783"/>
      <c r="D783"/>
      <c r="E783"/>
      <c r="F783"/>
      <c r="G783" s="398" t="s">
        <v>568</v>
      </c>
      <c r="H783" s="404">
        <f>H782/60</f>
        <v>2</v>
      </c>
      <c r="I783" s="400" t="s">
        <v>541</v>
      </c>
      <c r="J783" s="379"/>
      <c r="K783" s="388"/>
      <c r="L783" s="401"/>
      <c r="M783" s="401"/>
      <c r="N783" s="381"/>
      <c r="O783" s="229"/>
      <c r="P783"/>
      <c r="Q783"/>
      <c r="T783"/>
    </row>
    <row r="784" spans="1:20" ht="30" customHeight="1" thickBot="1" x14ac:dyDescent="0.35">
      <c r="A784" s="228"/>
      <c r="B784" s="47"/>
      <c r="C784"/>
      <c r="D784" s="410"/>
      <c r="E784" s="410"/>
      <c r="F784" s="379"/>
      <c r="G784"/>
      <c r="H784"/>
      <c r="I784"/>
      <c r="J784" s="379"/>
      <c r="K784" s="388"/>
      <c r="L784" s="401"/>
      <c r="M784" s="401"/>
      <c r="N784" s="381"/>
      <c r="O784" s="229"/>
      <c r="P784"/>
      <c r="Q784"/>
      <c r="T784"/>
    </row>
    <row r="785" spans="1:20" s="303" customFormat="1" ht="62.25" customHeight="1" x14ac:dyDescent="0.3">
      <c r="A785" s="364"/>
      <c r="B785" s="365" t="s">
        <v>498</v>
      </c>
      <c r="C785" s="366" t="s">
        <v>499</v>
      </c>
      <c r="D785" s="366" t="s">
        <v>500</v>
      </c>
      <c r="E785" s="366" t="s">
        <v>501</v>
      </c>
      <c r="F785" s="366" t="s">
        <v>502</v>
      </c>
      <c r="G785" s="366" t="s">
        <v>503</v>
      </c>
      <c r="H785" s="366" t="s">
        <v>504</v>
      </c>
      <c r="I785" s="366" t="s">
        <v>505</v>
      </c>
      <c r="J785" s="366" t="s">
        <v>506</v>
      </c>
      <c r="K785" s="366" t="s">
        <v>507</v>
      </c>
      <c r="L785" s="366" t="s">
        <v>588</v>
      </c>
      <c r="M785" s="679" t="s">
        <v>576</v>
      </c>
      <c r="N785" s="680"/>
      <c r="O785" s="367"/>
      <c r="T785" s="368"/>
    </row>
    <row r="786" spans="1:20" ht="36.75" customHeight="1" thickBot="1" x14ac:dyDescent="0.35">
      <c r="A786" s="228"/>
      <c r="B786" s="369">
        <v>5</v>
      </c>
      <c r="C786" s="239" t="s">
        <v>555</v>
      </c>
      <c r="D786" s="212">
        <v>10</v>
      </c>
      <c r="E786" s="212" t="s">
        <v>511</v>
      </c>
      <c r="F786" s="222" t="s">
        <v>96</v>
      </c>
      <c r="G786" s="222">
        <v>30</v>
      </c>
      <c r="H786" s="370" t="s">
        <v>96</v>
      </c>
      <c r="I786" s="212" t="s">
        <v>96</v>
      </c>
      <c r="J786" s="212" t="s">
        <v>96</v>
      </c>
      <c r="K786" s="222" t="s">
        <v>96</v>
      </c>
      <c r="L786" s="371">
        <f>H800+H814</f>
        <v>0.5</v>
      </c>
      <c r="M786" s="681">
        <f>L791</f>
        <v>23.9</v>
      </c>
      <c r="N786" s="682"/>
      <c r="O786" s="229"/>
      <c r="P786"/>
      <c r="Q786"/>
    </row>
    <row r="787" spans="1:20" ht="30" customHeight="1" x14ac:dyDescent="0.3">
      <c r="A787" s="228"/>
      <c r="B787" s="683"/>
      <c r="C787" s="628"/>
      <c r="D787" s="628"/>
      <c r="E787" s="628"/>
      <c r="F787" s="628"/>
      <c r="G787" s="628"/>
      <c r="H787" s="628"/>
      <c r="I787" s="628"/>
      <c r="J787" s="628"/>
      <c r="K787" s="628"/>
      <c r="L787" s="628"/>
      <c r="M787" s="628"/>
      <c r="N787" s="629"/>
      <c r="O787" s="346"/>
      <c r="P787"/>
      <c r="Q787"/>
      <c r="T787"/>
    </row>
    <row r="788" spans="1:20" ht="30" customHeight="1" x14ac:dyDescent="0.3">
      <c r="A788" s="228"/>
      <c r="B788" s="47"/>
      <c r="C788" s="673" t="s">
        <v>577</v>
      </c>
      <c r="D788" s="674"/>
      <c r="E788" s="675"/>
      <c r="F788" s="375"/>
      <c r="G788" s="673" t="s">
        <v>578</v>
      </c>
      <c r="H788" s="674"/>
      <c r="I788" s="675"/>
      <c r="J788" s="375"/>
      <c r="K788" s="673" t="s">
        <v>579</v>
      </c>
      <c r="L788" s="674"/>
      <c r="M788" s="675"/>
      <c r="N788" s="376"/>
      <c r="O788" s="346"/>
      <c r="P788"/>
      <c r="Q788"/>
      <c r="T788"/>
    </row>
    <row r="789" spans="1:20" ht="30" customHeight="1" x14ac:dyDescent="0.3">
      <c r="A789" s="228"/>
      <c r="B789" s="47"/>
      <c r="C789" s="377"/>
      <c r="D789" s="11"/>
      <c r="E789" s="378"/>
      <c r="F789" s="379"/>
      <c r="G789" s="380"/>
      <c r="H789" s="380"/>
      <c r="I789" s="380"/>
      <c r="J789" s="379"/>
      <c r="K789" s="378"/>
      <c r="L789" s="2"/>
      <c r="M789" s="378"/>
      <c r="N789" s="381"/>
      <c r="O789" s="346"/>
      <c r="P789"/>
      <c r="Q789"/>
      <c r="T789"/>
    </row>
    <row r="790" spans="1:20" ht="30" customHeight="1" x14ac:dyDescent="0.3">
      <c r="A790" s="228"/>
      <c r="B790" s="47"/>
      <c r="C790" s="382" t="s">
        <v>515</v>
      </c>
      <c r="D790" s="383">
        <f>D786</f>
        <v>10</v>
      </c>
      <c r="E790" s="2" t="s">
        <v>516</v>
      </c>
      <c r="F790" s="379"/>
      <c r="G790" s="382" t="s">
        <v>517</v>
      </c>
      <c r="H790" s="3">
        <v>32</v>
      </c>
      <c r="I790" s="2" t="s">
        <v>518</v>
      </c>
      <c r="J790" s="379"/>
      <c r="K790" s="21" t="s">
        <v>519</v>
      </c>
      <c r="L790" s="163">
        <f>D798/H800</f>
        <v>57750</v>
      </c>
      <c r="M790" s="2" t="s">
        <v>520</v>
      </c>
      <c r="N790" s="381"/>
      <c r="O790" s="346"/>
      <c r="P790"/>
      <c r="Q790"/>
      <c r="T790"/>
    </row>
    <row r="791" spans="1:20" ht="30" customHeight="1" x14ac:dyDescent="0.3">
      <c r="A791" s="228"/>
      <c r="B791" s="47"/>
      <c r="C791" s="382" t="s">
        <v>521</v>
      </c>
      <c r="D791" s="11" t="s">
        <v>96</v>
      </c>
      <c r="E791" s="2" t="s">
        <v>522</v>
      </c>
      <c r="F791" s="379"/>
      <c r="G791" s="382" t="s">
        <v>523</v>
      </c>
      <c r="H791" s="11">
        <f>D793</f>
        <v>0.7</v>
      </c>
      <c r="I791" s="2" t="s">
        <v>524</v>
      </c>
      <c r="J791" s="379"/>
      <c r="K791" s="431" t="s">
        <v>604</v>
      </c>
      <c r="L791" s="385">
        <f>IF(L790/5/1000&lt;23.9,23.9,L790/5/1000)</f>
        <v>23.9</v>
      </c>
      <c r="M791" s="133" t="s">
        <v>525</v>
      </c>
      <c r="N791" s="381"/>
      <c r="O791" s="346"/>
      <c r="P791"/>
      <c r="Q791"/>
      <c r="T791"/>
    </row>
    <row r="792" spans="1:20" ht="30" customHeight="1" x14ac:dyDescent="0.3">
      <c r="A792" s="228"/>
      <c r="B792" s="47"/>
      <c r="C792" s="382" t="s">
        <v>526</v>
      </c>
      <c r="D792" s="11">
        <f>xx!I108</f>
        <v>550</v>
      </c>
      <c r="E792" s="2" t="s">
        <v>527</v>
      </c>
      <c r="F792" s="379"/>
      <c r="G792" s="382" t="s">
        <v>528</v>
      </c>
      <c r="H792" s="11">
        <f>D795</f>
        <v>90</v>
      </c>
      <c r="I792" s="2" t="s">
        <v>518</v>
      </c>
      <c r="J792" s="379"/>
      <c r="K792" s="382" t="s">
        <v>601</v>
      </c>
      <c r="L792" s="11">
        <f>L790/5/1000</f>
        <v>11.55</v>
      </c>
      <c r="M792" s="387"/>
      <c r="N792" s="381"/>
      <c r="O792" s="346"/>
      <c r="P792"/>
      <c r="Q792"/>
      <c r="T792"/>
    </row>
    <row r="793" spans="1:20" ht="30" customHeight="1" x14ac:dyDescent="0.3">
      <c r="A793" s="228"/>
      <c r="B793" s="47"/>
      <c r="C793" s="382" t="s">
        <v>529</v>
      </c>
      <c r="D793" s="11">
        <v>0.7</v>
      </c>
      <c r="E793" s="2" t="s">
        <v>524</v>
      </c>
      <c r="F793" s="379"/>
      <c r="G793" s="382" t="s">
        <v>530</v>
      </c>
      <c r="H793" s="11">
        <f>D796</f>
        <v>40</v>
      </c>
      <c r="I793" s="2" t="s">
        <v>518</v>
      </c>
      <c r="J793" s="379"/>
      <c r="K793" s="455"/>
      <c r="L793" s="464"/>
      <c r="M793" s="464"/>
      <c r="N793" s="381"/>
      <c r="O793" s="346"/>
      <c r="P793"/>
      <c r="Q793"/>
      <c r="T793"/>
    </row>
    <row r="794" spans="1:20" ht="30" customHeight="1" x14ac:dyDescent="0.3">
      <c r="A794" s="228"/>
      <c r="B794" s="47"/>
      <c r="C794" s="382" t="s">
        <v>531</v>
      </c>
      <c r="D794" s="383" t="s">
        <v>96</v>
      </c>
      <c r="E794" s="2" t="s">
        <v>532</v>
      </c>
      <c r="F794" s="379"/>
      <c r="G794" s="382" t="s">
        <v>533</v>
      </c>
      <c r="H794" s="2">
        <f>D797</f>
        <v>21</v>
      </c>
      <c r="I794" s="2" t="s">
        <v>534</v>
      </c>
      <c r="J794" s="379"/>
      <c r="K794" s="464"/>
      <c r="L794" s="464"/>
      <c r="M794" s="464"/>
      <c r="N794" s="381"/>
      <c r="O794" s="346"/>
      <c r="P794"/>
      <c r="Q794"/>
      <c r="T794"/>
    </row>
    <row r="795" spans="1:20" ht="30" customHeight="1" x14ac:dyDescent="0.3">
      <c r="A795" s="228"/>
      <c r="B795" s="47"/>
      <c r="C795" s="382" t="s">
        <v>535</v>
      </c>
      <c r="D795" s="11">
        <v>90</v>
      </c>
      <c r="E795" s="2" t="s">
        <v>518</v>
      </c>
      <c r="F795" s="379"/>
      <c r="G795" s="382" t="s">
        <v>536</v>
      </c>
      <c r="H795" s="2">
        <v>200</v>
      </c>
      <c r="I795" s="21" t="s">
        <v>537</v>
      </c>
      <c r="J795" s="379"/>
      <c r="K795" s="379"/>
      <c r="L795" s="375"/>
      <c r="M795" s="379"/>
      <c r="N795" s="381"/>
      <c r="O795" s="346"/>
      <c r="P795"/>
      <c r="Q795"/>
      <c r="T795"/>
    </row>
    <row r="796" spans="1:20" ht="30" customHeight="1" x14ac:dyDescent="0.3">
      <c r="A796" s="228"/>
      <c r="B796" s="47"/>
      <c r="C796" s="382" t="s">
        <v>538</v>
      </c>
      <c r="D796" s="11">
        <v>40</v>
      </c>
      <c r="E796" s="2" t="s">
        <v>518</v>
      </c>
      <c r="F796" s="379"/>
      <c r="G796" s="2"/>
      <c r="H796" s="21"/>
      <c r="I796" s="21"/>
      <c r="J796" s="379"/>
      <c r="K796" s="379"/>
      <c r="L796" s="375"/>
      <c r="M796" s="379"/>
      <c r="N796" s="381"/>
      <c r="O796" s="346"/>
      <c r="P796"/>
      <c r="Q796"/>
      <c r="T796"/>
    </row>
    <row r="797" spans="1:20" ht="30" customHeight="1" x14ac:dyDescent="0.3">
      <c r="A797" s="228"/>
      <c r="B797" s="47"/>
      <c r="C797" s="382" t="s">
        <v>539</v>
      </c>
      <c r="D797" s="2">
        <v>21</v>
      </c>
      <c r="E797" s="378" t="s">
        <v>534</v>
      </c>
      <c r="F797" s="379"/>
      <c r="G797" s="389" t="s">
        <v>540</v>
      </c>
      <c r="H797" s="390">
        <f>((D792*D793)/(H794*H795))*(LN((H792-H790)/(H793-H790)))</f>
        <v>0.18159180131277014</v>
      </c>
      <c r="I797" s="389" t="s">
        <v>541</v>
      </c>
      <c r="J797" s="379"/>
      <c r="K797" s="388"/>
      <c r="L797" s="391"/>
      <c r="M797" s="388"/>
      <c r="N797" s="381"/>
      <c r="O797" s="346"/>
      <c r="P797"/>
      <c r="Q797"/>
      <c r="T797"/>
    </row>
    <row r="798" spans="1:20" ht="30" customHeight="1" x14ac:dyDescent="0.3">
      <c r="A798" s="228"/>
      <c r="B798" s="47"/>
      <c r="C798" s="392" t="s">
        <v>573</v>
      </c>
      <c r="D798" s="393">
        <f>D792*D793*(D795-D796)</f>
        <v>19250</v>
      </c>
      <c r="E798" s="389" t="s">
        <v>543</v>
      </c>
      <c r="F798" s="379"/>
      <c r="G798" s="670" t="s">
        <v>567</v>
      </c>
      <c r="H798" s="671"/>
      <c r="I798" s="672"/>
      <c r="J798" s="379"/>
      <c r="K798" s="379"/>
      <c r="L798" s="397"/>
      <c r="M798" s="388"/>
      <c r="N798" s="381"/>
      <c r="O798" s="346"/>
      <c r="P798"/>
      <c r="Q798"/>
      <c r="T798"/>
    </row>
    <row r="799" spans="1:20" ht="30" customHeight="1" x14ac:dyDescent="0.3">
      <c r="A799" s="228"/>
      <c r="B799" s="47"/>
      <c r="C799"/>
      <c r="D799"/>
      <c r="E799"/>
      <c r="F799" s="420"/>
      <c r="G799" s="398" t="s">
        <v>568</v>
      </c>
      <c r="H799" s="399">
        <v>20</v>
      </c>
      <c r="I799" s="400" t="s">
        <v>546</v>
      </c>
      <c r="J799" s="420"/>
      <c r="K799" s="420"/>
      <c r="L799" s="420"/>
      <c r="M799" s="420"/>
      <c r="N799" s="376"/>
      <c r="O799" s="346"/>
      <c r="P799"/>
      <c r="Q799"/>
      <c r="T799"/>
    </row>
    <row r="800" spans="1:20" ht="30" customHeight="1" x14ac:dyDescent="0.3">
      <c r="B800" s="47"/>
      <c r="C800"/>
      <c r="D800"/>
      <c r="E800"/>
      <c r="F800" s="420"/>
      <c r="G800" s="468" t="s">
        <v>568</v>
      </c>
      <c r="H800" s="469">
        <f>H799/60</f>
        <v>0.33333333333333331</v>
      </c>
      <c r="I800" s="470" t="s">
        <v>541</v>
      </c>
      <c r="J800" s="420"/>
      <c r="K800" s="420"/>
      <c r="L800" s="420"/>
      <c r="M800" s="420"/>
      <c r="N800" s="376"/>
      <c r="P800"/>
      <c r="Q800"/>
      <c r="T800"/>
    </row>
    <row r="801" spans="1:20" ht="30" customHeight="1" x14ac:dyDescent="0.3">
      <c r="B801" s="47"/>
      <c r="C801"/>
      <c r="D801"/>
      <c r="E801"/>
      <c r="F801" s="420"/>
      <c r="G801" s="471"/>
      <c r="H801" s="472"/>
      <c r="I801" s="395"/>
      <c r="J801" s="420"/>
      <c r="K801" s="420"/>
      <c r="L801" s="420"/>
      <c r="M801" s="420"/>
      <c r="N801" s="376"/>
      <c r="P801"/>
      <c r="Q801"/>
      <c r="T801"/>
    </row>
    <row r="802" spans="1:20" ht="27" customHeight="1" x14ac:dyDescent="0.3">
      <c r="A802" s="228"/>
      <c r="B802" s="47"/>
      <c r="C802" s="673" t="s">
        <v>512</v>
      </c>
      <c r="D802" s="674"/>
      <c r="E802" s="675"/>
      <c r="F802" s="375"/>
      <c r="G802" s="720" t="s">
        <v>513</v>
      </c>
      <c r="H802" s="721"/>
      <c r="I802" s="722"/>
      <c r="J802" s="375"/>
      <c r="K802" s="673" t="s">
        <v>514</v>
      </c>
      <c r="L802" s="674"/>
      <c r="M802" s="675"/>
      <c r="N802" s="376"/>
      <c r="O802" s="229"/>
      <c r="P802"/>
      <c r="Q802"/>
      <c r="T802"/>
    </row>
    <row r="803" spans="1:20" ht="27" customHeight="1" x14ac:dyDescent="0.3">
      <c r="A803" s="228"/>
      <c r="B803" s="47"/>
      <c r="C803" s="377"/>
      <c r="D803" s="11"/>
      <c r="E803" s="378"/>
      <c r="F803" s="379"/>
      <c r="G803" s="380"/>
      <c r="H803" s="380"/>
      <c r="I803" s="380"/>
      <c r="J803" s="379"/>
      <c r="K803" s="378"/>
      <c r="L803" s="2"/>
      <c r="M803" s="378"/>
      <c r="N803" s="381"/>
      <c r="O803" s="229"/>
      <c r="P803"/>
      <c r="Q803"/>
      <c r="T803"/>
    </row>
    <row r="804" spans="1:20" ht="27" customHeight="1" x14ac:dyDescent="0.3">
      <c r="A804" s="228"/>
      <c r="B804" s="47"/>
      <c r="C804" s="382" t="s">
        <v>515</v>
      </c>
      <c r="D804" s="383">
        <v>10</v>
      </c>
      <c r="E804" s="2" t="s">
        <v>516</v>
      </c>
      <c r="F804" s="379"/>
      <c r="G804" s="382" t="s">
        <v>517</v>
      </c>
      <c r="H804" s="3">
        <v>7</v>
      </c>
      <c r="I804" s="2" t="s">
        <v>518</v>
      </c>
      <c r="J804" s="379"/>
      <c r="K804" s="21" t="s">
        <v>519</v>
      </c>
      <c r="L804" s="163">
        <f>D812/H814</f>
        <v>23100</v>
      </c>
      <c r="M804" s="2" t="s">
        <v>520</v>
      </c>
      <c r="N804" s="381"/>
      <c r="O804" s="229"/>
      <c r="P804"/>
      <c r="Q804"/>
      <c r="T804"/>
    </row>
    <row r="805" spans="1:20" ht="39.6" customHeight="1" x14ac:dyDescent="0.3">
      <c r="A805" s="228"/>
      <c r="B805" s="47"/>
      <c r="C805" s="382" t="s">
        <v>521</v>
      </c>
      <c r="D805" s="11" t="s">
        <v>96</v>
      </c>
      <c r="E805" s="2" t="s">
        <v>522</v>
      </c>
      <c r="F805" s="379"/>
      <c r="G805" s="382" t="s">
        <v>523</v>
      </c>
      <c r="H805" s="11">
        <f>D807</f>
        <v>0.7</v>
      </c>
      <c r="I805" s="2" t="s">
        <v>524</v>
      </c>
      <c r="J805" s="379"/>
      <c r="K805" s="431" t="s">
        <v>604</v>
      </c>
      <c r="L805" s="385">
        <f>IF(L804/5/1000&lt;23.9,23.9,L804/5/1000)</f>
        <v>23.9</v>
      </c>
      <c r="M805" s="349" t="s">
        <v>525</v>
      </c>
      <c r="N805" s="381"/>
      <c r="O805" s="229"/>
      <c r="P805"/>
      <c r="Q805"/>
      <c r="T805"/>
    </row>
    <row r="806" spans="1:20" ht="27" customHeight="1" x14ac:dyDescent="0.3">
      <c r="A806" s="228"/>
      <c r="B806" s="47"/>
      <c r="C806" s="382" t="s">
        <v>526</v>
      </c>
      <c r="D806" s="11">
        <f>D792</f>
        <v>550</v>
      </c>
      <c r="E806" s="2" t="s">
        <v>527</v>
      </c>
      <c r="F806" s="379"/>
      <c r="G806" s="382" t="s">
        <v>528</v>
      </c>
      <c r="H806" s="11">
        <f>D809</f>
        <v>40</v>
      </c>
      <c r="I806" s="2" t="s">
        <v>518</v>
      </c>
      <c r="J806" s="379"/>
      <c r="K806" s="382" t="s">
        <v>601</v>
      </c>
      <c r="L806" s="11">
        <f>L804/5/1000</f>
        <v>4.62</v>
      </c>
      <c r="M806" s="388"/>
      <c r="N806" s="381"/>
      <c r="O806" s="229"/>
      <c r="P806"/>
      <c r="Q806"/>
      <c r="T806"/>
    </row>
    <row r="807" spans="1:20" ht="27" customHeight="1" x14ac:dyDescent="0.3">
      <c r="A807" s="228"/>
      <c r="B807" s="47"/>
      <c r="C807" s="382" t="s">
        <v>529</v>
      </c>
      <c r="D807" s="11">
        <v>0.7</v>
      </c>
      <c r="E807" s="2" t="s">
        <v>524</v>
      </c>
      <c r="F807" s="379"/>
      <c r="G807" s="382" t="s">
        <v>530</v>
      </c>
      <c r="H807" s="11">
        <f>D810</f>
        <v>30</v>
      </c>
      <c r="I807" s="2" t="s">
        <v>518</v>
      </c>
      <c r="J807" s="379"/>
      <c r="K807" s="455"/>
      <c r="L807" s="455"/>
      <c r="M807" s="455"/>
      <c r="N807" s="381"/>
      <c r="O807" s="229"/>
      <c r="P807"/>
      <c r="Q807"/>
      <c r="T807"/>
    </row>
    <row r="808" spans="1:20" ht="27" customHeight="1" x14ac:dyDescent="0.3">
      <c r="A808" s="228"/>
      <c r="B808" s="47"/>
      <c r="C808" s="382" t="s">
        <v>531</v>
      </c>
      <c r="D808" s="383" t="s">
        <v>96</v>
      </c>
      <c r="E808" s="2" t="s">
        <v>532</v>
      </c>
      <c r="F808" s="379"/>
      <c r="G808" s="382" t="s">
        <v>533</v>
      </c>
      <c r="H808" s="2">
        <f>D811</f>
        <v>21</v>
      </c>
      <c r="I808" s="2" t="s">
        <v>534</v>
      </c>
      <c r="J808" s="379"/>
      <c r="K808" s="455"/>
      <c r="L808" s="455"/>
      <c r="M808" s="455"/>
      <c r="N808" s="381"/>
      <c r="O808" s="229"/>
      <c r="P808"/>
      <c r="Q808"/>
      <c r="T808"/>
    </row>
    <row r="809" spans="1:20" ht="27" customHeight="1" x14ac:dyDescent="0.3">
      <c r="A809" s="228"/>
      <c r="B809" s="47"/>
      <c r="C809" s="382" t="s">
        <v>535</v>
      </c>
      <c r="D809" s="11">
        <v>40</v>
      </c>
      <c r="E809" s="2" t="s">
        <v>518</v>
      </c>
      <c r="F809" s="379"/>
      <c r="G809" s="382" t="s">
        <v>536</v>
      </c>
      <c r="H809" s="2">
        <v>175</v>
      </c>
      <c r="I809" s="21" t="s">
        <v>537</v>
      </c>
      <c r="J809" s="379"/>
      <c r="K809" s="379"/>
      <c r="L809" s="375"/>
      <c r="M809" s="379"/>
      <c r="N809" s="381"/>
      <c r="O809" s="229"/>
      <c r="P809"/>
      <c r="Q809"/>
      <c r="T809"/>
    </row>
    <row r="810" spans="1:20" ht="27" customHeight="1" x14ac:dyDescent="0.3">
      <c r="A810" s="228"/>
      <c r="B810" s="47"/>
      <c r="C810" s="382" t="s">
        <v>538</v>
      </c>
      <c r="D810" s="11">
        <v>30</v>
      </c>
      <c r="E810" s="2" t="s">
        <v>518</v>
      </c>
      <c r="F810" s="379"/>
      <c r="G810" s="2"/>
      <c r="H810" s="21"/>
      <c r="I810" s="21"/>
      <c r="J810" s="379"/>
      <c r="K810" s="379"/>
      <c r="L810" s="375"/>
      <c r="M810" s="379"/>
      <c r="N810" s="381"/>
      <c r="O810" s="229"/>
      <c r="P810"/>
      <c r="Q810"/>
      <c r="T810"/>
    </row>
    <row r="811" spans="1:20" ht="27" customHeight="1" x14ac:dyDescent="0.3">
      <c r="A811" s="228"/>
      <c r="B811" s="47"/>
      <c r="C811" s="382" t="s">
        <v>539</v>
      </c>
      <c r="D811" s="2">
        <v>21</v>
      </c>
      <c r="E811" s="2" t="s">
        <v>534</v>
      </c>
      <c r="F811" s="379"/>
      <c r="G811" s="389" t="s">
        <v>540</v>
      </c>
      <c r="H811" s="390">
        <f>((D806*D807)/(H808*H809))*(LN((H806-H804)/(H807-H804)))</f>
        <v>3.7820445722958437E-2</v>
      </c>
      <c r="I811" s="389" t="s">
        <v>541</v>
      </c>
      <c r="J811" s="379"/>
      <c r="K811" s="388"/>
      <c r="L811" s="391"/>
      <c r="M811" s="388"/>
      <c r="N811" s="381"/>
      <c r="O811" s="229"/>
      <c r="P811"/>
      <c r="Q811"/>
      <c r="T811"/>
    </row>
    <row r="812" spans="1:20" ht="27" customHeight="1" x14ac:dyDescent="0.3">
      <c r="A812" s="228"/>
      <c r="B812" s="47"/>
      <c r="C812" s="392" t="s">
        <v>542</v>
      </c>
      <c r="D812" s="393">
        <f>D806*D807*(D809-D810)</f>
        <v>3850</v>
      </c>
      <c r="E812" s="389" t="s">
        <v>543</v>
      </c>
      <c r="F812" s="379"/>
      <c r="G812" s="670" t="s">
        <v>544</v>
      </c>
      <c r="H812" s="671"/>
      <c r="I812" s="672"/>
      <c r="J812" s="379"/>
      <c r="K812" s="388"/>
      <c r="L812" s="397"/>
      <c r="M812" s="388"/>
      <c r="N812" s="381"/>
      <c r="O812" s="229"/>
      <c r="P812"/>
      <c r="Q812"/>
      <c r="T812"/>
    </row>
    <row r="813" spans="1:20" ht="27" customHeight="1" x14ac:dyDescent="0.3">
      <c r="A813" s="228"/>
      <c r="B813" s="47"/>
      <c r="C813" s="379"/>
      <c r="D813" s="375"/>
      <c r="E813" s="379"/>
      <c r="F813" s="379"/>
      <c r="G813" s="398" t="s">
        <v>545</v>
      </c>
      <c r="H813" s="399">
        <v>10</v>
      </c>
      <c r="I813" s="400" t="s">
        <v>546</v>
      </c>
      <c r="J813" s="379"/>
      <c r="K813" s="388"/>
      <c r="L813" s="401"/>
      <c r="M813" s="401"/>
      <c r="N813" s="381"/>
      <c r="O813" s="229"/>
      <c r="P813"/>
      <c r="Q813"/>
      <c r="T813"/>
    </row>
    <row r="814" spans="1:20" ht="27" customHeight="1" x14ac:dyDescent="0.3">
      <c r="A814" s="228"/>
      <c r="B814" s="47"/>
      <c r="C814" s="379"/>
      <c r="D814" s="375"/>
      <c r="E814" s="379"/>
      <c r="F814" s="379"/>
      <c r="G814" s="398" t="s">
        <v>545</v>
      </c>
      <c r="H814" s="404">
        <f>H813/60</f>
        <v>0.16666666666666666</v>
      </c>
      <c r="I814" s="400" t="s">
        <v>541</v>
      </c>
      <c r="J814" s="379"/>
      <c r="K814" s="388"/>
      <c r="L814" s="401"/>
      <c r="M814" s="401"/>
      <c r="N814" s="381"/>
      <c r="O814" s="229"/>
      <c r="P814"/>
      <c r="Q814"/>
      <c r="T814"/>
    </row>
    <row r="815" spans="1:20" ht="30" customHeight="1" thickBot="1" x14ac:dyDescent="0.35">
      <c r="B815" s="402"/>
      <c r="C815" s="458"/>
      <c r="D815" s="405"/>
      <c r="E815" s="405"/>
      <c r="F815" s="458"/>
      <c r="G815" s="220"/>
      <c r="H815" s="220"/>
      <c r="I815" s="220"/>
      <c r="J815" s="458"/>
      <c r="K815" s="459"/>
      <c r="L815" s="460"/>
      <c r="M815" s="460"/>
      <c r="N815" s="461"/>
    </row>
    <row r="816" spans="1:20" ht="30" customHeight="1" x14ac:dyDescent="0.3"/>
    <row r="817" ht="30" customHeight="1" x14ac:dyDescent="0.3"/>
    <row r="818" ht="30" customHeight="1" x14ac:dyDescent="0.3"/>
    <row r="819" ht="30" customHeight="1" x14ac:dyDescent="0.3"/>
    <row r="820" ht="30" customHeight="1" x14ac:dyDescent="0.3"/>
    <row r="821" ht="30" customHeight="1" x14ac:dyDescent="0.3"/>
    <row r="822" ht="30" customHeight="1" x14ac:dyDescent="0.3"/>
    <row r="823" ht="30" customHeight="1" x14ac:dyDescent="0.3"/>
    <row r="824" ht="30" customHeight="1" x14ac:dyDescent="0.3"/>
    <row r="825" ht="30" customHeight="1" x14ac:dyDescent="0.3"/>
    <row r="826" ht="30" customHeight="1" x14ac:dyDescent="0.3"/>
    <row r="827" ht="30" customHeight="1" x14ac:dyDescent="0.3"/>
    <row r="828" ht="30" customHeight="1" x14ac:dyDescent="0.3"/>
    <row r="829" ht="30" customHeight="1" x14ac:dyDescent="0.3"/>
    <row r="830" ht="30" customHeight="1" x14ac:dyDescent="0.3"/>
    <row r="831" ht="30" customHeight="1" x14ac:dyDescent="0.3"/>
    <row r="832" ht="30" customHeight="1" x14ac:dyDescent="0.3"/>
    <row r="833" ht="30" customHeight="1" x14ac:dyDescent="0.3"/>
    <row r="834" ht="30" customHeight="1" x14ac:dyDescent="0.3"/>
    <row r="835" ht="30" customHeight="1" x14ac:dyDescent="0.3"/>
    <row r="836" ht="30" customHeight="1" x14ac:dyDescent="0.3"/>
    <row r="837" ht="30" customHeight="1" x14ac:dyDescent="0.3"/>
    <row r="838" ht="30" customHeight="1" x14ac:dyDescent="0.3"/>
    <row r="839" ht="30" customHeight="1" x14ac:dyDescent="0.3"/>
    <row r="840" ht="30" customHeight="1" x14ac:dyDescent="0.3"/>
    <row r="841" ht="30" customHeight="1" x14ac:dyDescent="0.3"/>
    <row r="842" ht="30" customHeight="1" x14ac:dyDescent="0.3"/>
    <row r="843" ht="30" customHeight="1" x14ac:dyDescent="0.3"/>
    <row r="844" ht="30" customHeight="1" x14ac:dyDescent="0.3"/>
    <row r="845" ht="30" customHeight="1" x14ac:dyDescent="0.3"/>
    <row r="846" ht="30" customHeight="1" x14ac:dyDescent="0.3"/>
    <row r="847" ht="30" customHeight="1" x14ac:dyDescent="0.3"/>
    <row r="848" ht="30" customHeight="1" x14ac:dyDescent="0.3"/>
    <row r="849" ht="30" customHeight="1" x14ac:dyDescent="0.3"/>
  </sheetData>
  <mergeCells count="314">
    <mergeCell ref="C649:E649"/>
    <mergeCell ref="G649:I649"/>
    <mergeCell ref="K649:M649"/>
    <mergeCell ref="K603:M603"/>
    <mergeCell ref="G613:I613"/>
    <mergeCell ref="M618:N618"/>
    <mergeCell ref="C635:E635"/>
    <mergeCell ref="G635:I635"/>
    <mergeCell ref="K635:M635"/>
    <mergeCell ref="G645:I645"/>
    <mergeCell ref="M619:N619"/>
    <mergeCell ref="B620:N620"/>
    <mergeCell ref="M582:N582"/>
    <mergeCell ref="M583:N583"/>
    <mergeCell ref="B584:N584"/>
    <mergeCell ref="C667:E667"/>
    <mergeCell ref="B666:N666"/>
    <mergeCell ref="M665:N665"/>
    <mergeCell ref="M664:N664"/>
    <mergeCell ref="C549:E549"/>
    <mergeCell ref="G549:I549"/>
    <mergeCell ref="K549:M549"/>
    <mergeCell ref="G559:I559"/>
    <mergeCell ref="C585:E585"/>
    <mergeCell ref="G585:I585"/>
    <mergeCell ref="K585:M585"/>
    <mergeCell ref="G595:I595"/>
    <mergeCell ref="M600:N600"/>
    <mergeCell ref="G659:I659"/>
    <mergeCell ref="C621:E621"/>
    <mergeCell ref="G621:I621"/>
    <mergeCell ref="K621:M621"/>
    <mergeCell ref="G631:I631"/>
    <mergeCell ref="B602:N602"/>
    <mergeCell ref="C603:E603"/>
    <mergeCell ref="G603:I603"/>
    <mergeCell ref="M518:N518"/>
    <mergeCell ref="M519:N519"/>
    <mergeCell ref="B520:N520"/>
    <mergeCell ref="C521:E521"/>
    <mergeCell ref="G521:I521"/>
    <mergeCell ref="K521:M521"/>
    <mergeCell ref="K667:M667"/>
    <mergeCell ref="G667:I667"/>
    <mergeCell ref="G531:I531"/>
    <mergeCell ref="B663:N663"/>
    <mergeCell ref="C535:E535"/>
    <mergeCell ref="G535:I535"/>
    <mergeCell ref="M563:N563"/>
    <mergeCell ref="M564:N564"/>
    <mergeCell ref="B565:N565"/>
    <mergeCell ref="C566:E566"/>
    <mergeCell ref="G566:I566"/>
    <mergeCell ref="K566:M566"/>
    <mergeCell ref="K535:M535"/>
    <mergeCell ref="B548:N548"/>
    <mergeCell ref="M601:N601"/>
    <mergeCell ref="G576:I576"/>
    <mergeCell ref="B580:N580"/>
    <mergeCell ref="B581:N581"/>
    <mergeCell ref="G798:I798"/>
    <mergeCell ref="C802:E802"/>
    <mergeCell ref="G802:I802"/>
    <mergeCell ref="K802:M802"/>
    <mergeCell ref="G812:I812"/>
    <mergeCell ref="G781:I781"/>
    <mergeCell ref="M785:N785"/>
    <mergeCell ref="M786:N786"/>
    <mergeCell ref="B787:N787"/>
    <mergeCell ref="C788:E788"/>
    <mergeCell ref="G788:I788"/>
    <mergeCell ref="K788:M788"/>
    <mergeCell ref="M769:N769"/>
    <mergeCell ref="B770:N770"/>
    <mergeCell ref="C771:E771"/>
    <mergeCell ref="G771:I771"/>
    <mergeCell ref="K771:M771"/>
    <mergeCell ref="M751:N751"/>
    <mergeCell ref="M752:N752"/>
    <mergeCell ref="B753:N753"/>
    <mergeCell ref="C754:E754"/>
    <mergeCell ref="G754:I754"/>
    <mergeCell ref="K754:M754"/>
    <mergeCell ref="G764:I764"/>
    <mergeCell ref="M768:N768"/>
    <mergeCell ref="G695:I695"/>
    <mergeCell ref="M700:N700"/>
    <mergeCell ref="M701:N701"/>
    <mergeCell ref="B702:N702"/>
    <mergeCell ref="C703:E703"/>
    <mergeCell ref="G703:I703"/>
    <mergeCell ref="K703:M703"/>
    <mergeCell ref="G677:I677"/>
    <mergeCell ref="B681:N681"/>
    <mergeCell ref="M682:N682"/>
    <mergeCell ref="M683:N683"/>
    <mergeCell ref="B684:N684"/>
    <mergeCell ref="C685:E685"/>
    <mergeCell ref="G685:I685"/>
    <mergeCell ref="K685:M685"/>
    <mergeCell ref="G512:I512"/>
    <mergeCell ref="B517:N517"/>
    <mergeCell ref="G494:I494"/>
    <mergeCell ref="M499:N499"/>
    <mergeCell ref="M500:N500"/>
    <mergeCell ref="B501:N501"/>
    <mergeCell ref="C502:E502"/>
    <mergeCell ref="G502:I502"/>
    <mergeCell ref="K502:M502"/>
    <mergeCell ref="G476:I476"/>
    <mergeCell ref="M481:N481"/>
    <mergeCell ref="M482:N482"/>
    <mergeCell ref="B483:N483"/>
    <mergeCell ref="C484:E484"/>
    <mergeCell ref="G484:I484"/>
    <mergeCell ref="K484:M484"/>
    <mergeCell ref="G458:I458"/>
    <mergeCell ref="M463:N463"/>
    <mergeCell ref="M464:N464"/>
    <mergeCell ref="B465:N465"/>
    <mergeCell ref="C466:E466"/>
    <mergeCell ref="G466:I466"/>
    <mergeCell ref="K466:M466"/>
    <mergeCell ref="G440:I440"/>
    <mergeCell ref="M445:N445"/>
    <mergeCell ref="M446:N446"/>
    <mergeCell ref="B447:N447"/>
    <mergeCell ref="C448:E448"/>
    <mergeCell ref="G448:I448"/>
    <mergeCell ref="K448:M448"/>
    <mergeCell ref="G422:I422"/>
    <mergeCell ref="M427:N427"/>
    <mergeCell ref="M428:N428"/>
    <mergeCell ref="B429:N429"/>
    <mergeCell ref="C430:E430"/>
    <mergeCell ref="G430:I430"/>
    <mergeCell ref="K430:M430"/>
    <mergeCell ref="G404:I404"/>
    <mergeCell ref="M409:N409"/>
    <mergeCell ref="M410:N410"/>
    <mergeCell ref="B411:N411"/>
    <mergeCell ref="C412:E412"/>
    <mergeCell ref="G412:I412"/>
    <mergeCell ref="K412:M412"/>
    <mergeCell ref="G387:I387"/>
    <mergeCell ref="M391:N391"/>
    <mergeCell ref="M392:N392"/>
    <mergeCell ref="B393:N393"/>
    <mergeCell ref="C394:E394"/>
    <mergeCell ref="G394:I394"/>
    <mergeCell ref="K394:M394"/>
    <mergeCell ref="G359:I359"/>
    <mergeCell ref="C363:E363"/>
    <mergeCell ref="G363:I363"/>
    <mergeCell ref="K363:M363"/>
    <mergeCell ref="G373:I373"/>
    <mergeCell ref="C377:E377"/>
    <mergeCell ref="G377:I377"/>
    <mergeCell ref="K377:M377"/>
    <mergeCell ref="G342:I342"/>
    <mergeCell ref="M346:N346"/>
    <mergeCell ref="M347:N347"/>
    <mergeCell ref="B348:N348"/>
    <mergeCell ref="C349:E349"/>
    <mergeCell ref="G349:I349"/>
    <mergeCell ref="K349:M349"/>
    <mergeCell ref="G325:I325"/>
    <mergeCell ref="M329:N329"/>
    <mergeCell ref="M330:N330"/>
    <mergeCell ref="B331:N331"/>
    <mergeCell ref="C332:E332"/>
    <mergeCell ref="G332:I332"/>
    <mergeCell ref="K332:M332"/>
    <mergeCell ref="G308:I308"/>
    <mergeCell ref="M312:N312"/>
    <mergeCell ref="M313:N313"/>
    <mergeCell ref="B314:N314"/>
    <mergeCell ref="C315:E315"/>
    <mergeCell ref="G315:I315"/>
    <mergeCell ref="K315:M315"/>
    <mergeCell ref="G291:I291"/>
    <mergeCell ref="M295:N295"/>
    <mergeCell ref="M296:N296"/>
    <mergeCell ref="B297:N297"/>
    <mergeCell ref="C298:E298"/>
    <mergeCell ref="G298:I298"/>
    <mergeCell ref="K298:M298"/>
    <mergeCell ref="G273:I273"/>
    <mergeCell ref="M278:N278"/>
    <mergeCell ref="M279:N279"/>
    <mergeCell ref="B280:N280"/>
    <mergeCell ref="C281:E281"/>
    <mergeCell ref="G281:I281"/>
    <mergeCell ref="K281:M281"/>
    <mergeCell ref="B248:N248"/>
    <mergeCell ref="C249:E249"/>
    <mergeCell ref="G249:I249"/>
    <mergeCell ref="K249:M249"/>
    <mergeCell ref="G259:I259"/>
    <mergeCell ref="C263:E263"/>
    <mergeCell ref="G263:I263"/>
    <mergeCell ref="K263:M263"/>
    <mergeCell ref="G228:I228"/>
    <mergeCell ref="C232:E232"/>
    <mergeCell ref="G232:I232"/>
    <mergeCell ref="K232:M232"/>
    <mergeCell ref="M246:N246"/>
    <mergeCell ref="M247:N247"/>
    <mergeCell ref="M215:N215"/>
    <mergeCell ref="M216:N216"/>
    <mergeCell ref="B217:N217"/>
    <mergeCell ref="C218:E218"/>
    <mergeCell ref="G218:I218"/>
    <mergeCell ref="K218:M218"/>
    <mergeCell ref="M198:N198"/>
    <mergeCell ref="B199:N199"/>
    <mergeCell ref="C200:E200"/>
    <mergeCell ref="G200:I200"/>
    <mergeCell ref="K200:M200"/>
    <mergeCell ref="G210:I210"/>
    <mergeCell ref="B182:N182"/>
    <mergeCell ref="C183:E183"/>
    <mergeCell ref="G183:I183"/>
    <mergeCell ref="K183:M183"/>
    <mergeCell ref="G193:I193"/>
    <mergeCell ref="M197:N197"/>
    <mergeCell ref="M165:N165"/>
    <mergeCell ref="B166:N166"/>
    <mergeCell ref="C167:E167"/>
    <mergeCell ref="K167:M167"/>
    <mergeCell ref="M180:N180"/>
    <mergeCell ref="M181:N181"/>
    <mergeCell ref="M148:N148"/>
    <mergeCell ref="M149:N149"/>
    <mergeCell ref="B150:N150"/>
    <mergeCell ref="C151:E151"/>
    <mergeCell ref="K151:M151"/>
    <mergeCell ref="M164:N164"/>
    <mergeCell ref="M132:N132"/>
    <mergeCell ref="M133:N133"/>
    <mergeCell ref="B134:N134"/>
    <mergeCell ref="C135:E135"/>
    <mergeCell ref="G135:I135"/>
    <mergeCell ref="K135:M135"/>
    <mergeCell ref="M116:N116"/>
    <mergeCell ref="M117:N117"/>
    <mergeCell ref="B84:N84"/>
    <mergeCell ref="C85:E85"/>
    <mergeCell ref="G85:I85"/>
    <mergeCell ref="K85:M85"/>
    <mergeCell ref="B118:N118"/>
    <mergeCell ref="C119:E119"/>
    <mergeCell ref="G119:I119"/>
    <mergeCell ref="K119:M119"/>
    <mergeCell ref="K90:M91"/>
    <mergeCell ref="G95:I95"/>
    <mergeCell ref="M99:N99"/>
    <mergeCell ref="M100:N100"/>
    <mergeCell ref="B101:N101"/>
    <mergeCell ref="C102:E102"/>
    <mergeCell ref="G102:I102"/>
    <mergeCell ref="K102:M102"/>
    <mergeCell ref="B2:C4"/>
    <mergeCell ref="D2:J7"/>
    <mergeCell ref="M2:N4"/>
    <mergeCell ref="B5:C5"/>
    <mergeCell ref="M5:N6"/>
    <mergeCell ref="B8:N8"/>
    <mergeCell ref="G40:I40"/>
    <mergeCell ref="B45:N45"/>
    <mergeCell ref="M46:N46"/>
    <mergeCell ref="G22:I22"/>
    <mergeCell ref="M25:N25"/>
    <mergeCell ref="M26:N26"/>
    <mergeCell ref="B27:N27"/>
    <mergeCell ref="C30:E30"/>
    <mergeCell ref="G30:I30"/>
    <mergeCell ref="K30:M30"/>
    <mergeCell ref="M9:N9"/>
    <mergeCell ref="M10:N10"/>
    <mergeCell ref="B11:N11"/>
    <mergeCell ref="C12:E12"/>
    <mergeCell ref="G12:I12"/>
    <mergeCell ref="K12:M12"/>
    <mergeCell ref="M47:N47"/>
    <mergeCell ref="B48:N48"/>
    <mergeCell ref="C49:E49"/>
    <mergeCell ref="G49:I49"/>
    <mergeCell ref="K49:M49"/>
    <mergeCell ref="K73:M74"/>
    <mergeCell ref="G78:I78"/>
    <mergeCell ref="M82:N82"/>
    <mergeCell ref="M83:N83"/>
    <mergeCell ref="G59:I59"/>
    <mergeCell ref="B64:N64"/>
    <mergeCell ref="M65:N65"/>
    <mergeCell ref="M66:N66"/>
    <mergeCell ref="B67:N67"/>
    <mergeCell ref="C68:E68"/>
    <mergeCell ref="G68:I68"/>
    <mergeCell ref="K68:M68"/>
    <mergeCell ref="G731:I731"/>
    <mergeCell ref="C735:E735"/>
    <mergeCell ref="G735:I735"/>
    <mergeCell ref="K735:M735"/>
    <mergeCell ref="G745:I745"/>
    <mergeCell ref="B750:N750"/>
    <mergeCell ref="G713:I713"/>
    <mergeCell ref="M718:N718"/>
    <mergeCell ref="M719:N719"/>
    <mergeCell ref="B720:N720"/>
    <mergeCell ref="C721:E721"/>
    <mergeCell ref="G721:I721"/>
    <mergeCell ref="K721:M721"/>
  </mergeCells>
  <conditionalFormatting sqref="D2">
    <cfRule type="duplicateValues" dxfId="1" priority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10" orientation="portrait" r:id="rId1"/>
  <rowBreaks count="1" manualBreakCount="1">
    <brk id="357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10"/>
  <sheetViews>
    <sheetView zoomScale="40" zoomScaleNormal="40" workbookViewId="0">
      <selection activeCell="B7" sqref="B7:W7"/>
    </sheetView>
  </sheetViews>
  <sheetFormatPr defaultRowHeight="14.4" x14ac:dyDescent="0.3"/>
  <cols>
    <col min="1" max="1" width="5.77734375" customWidth="1"/>
    <col min="2" max="2" width="12.44140625" customWidth="1"/>
    <col min="3" max="3" width="19.88671875" customWidth="1"/>
    <col min="4" max="4" width="32.33203125" bestFit="1" customWidth="1"/>
    <col min="5" max="5" width="19.5546875" customWidth="1"/>
    <col min="6" max="6" width="15.33203125" customWidth="1"/>
    <col min="7" max="7" width="20.21875" customWidth="1"/>
    <col min="8" max="8" width="15.109375" customWidth="1"/>
    <col min="9" max="10" width="19.44140625" customWidth="1"/>
    <col min="11" max="12" width="12.77734375" customWidth="1"/>
    <col min="13" max="18" width="13.109375" customWidth="1"/>
    <col min="19" max="19" width="10.21875" customWidth="1"/>
    <col min="20" max="21" width="11.44140625" customWidth="1"/>
    <col min="22" max="22" width="14.21875" bestFit="1" customWidth="1"/>
    <col min="23" max="23" width="19.77734375" customWidth="1"/>
    <col min="30" max="30" width="12.21875" customWidth="1"/>
    <col min="31" max="31" width="13.21875" bestFit="1" customWidth="1"/>
  </cols>
  <sheetData>
    <row r="1" spans="1:25" ht="30" customHeight="1" x14ac:dyDescent="0.3">
      <c r="A1" s="13"/>
      <c r="B1" s="530"/>
      <c r="C1" s="725"/>
      <c r="D1" s="531"/>
      <c r="E1" s="534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6"/>
      <c r="R1" s="296" t="s">
        <v>353</v>
      </c>
      <c r="S1" s="727"/>
      <c r="T1" s="727"/>
      <c r="U1" s="728"/>
      <c r="V1" s="728"/>
      <c r="W1" s="729"/>
      <c r="X1" s="297"/>
      <c r="Y1" s="297"/>
    </row>
    <row r="2" spans="1:25" ht="30" customHeight="1" x14ac:dyDescent="0.3">
      <c r="A2" s="13"/>
      <c r="B2" s="532"/>
      <c r="C2" s="726"/>
      <c r="D2" s="533"/>
      <c r="E2" s="537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9"/>
      <c r="R2" s="298" t="s">
        <v>354</v>
      </c>
      <c r="S2" s="732"/>
      <c r="T2" s="732"/>
      <c r="U2" s="730"/>
      <c r="V2" s="730"/>
      <c r="W2" s="731"/>
      <c r="X2" s="297"/>
      <c r="Y2" s="297"/>
    </row>
    <row r="3" spans="1:25" ht="30" customHeight="1" x14ac:dyDescent="0.3">
      <c r="A3" s="13"/>
      <c r="B3" s="532"/>
      <c r="C3" s="726"/>
      <c r="D3" s="533"/>
      <c r="E3" s="537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9"/>
      <c r="R3" s="299" t="s">
        <v>355</v>
      </c>
      <c r="S3" s="733"/>
      <c r="T3" s="733"/>
      <c r="U3" s="730"/>
      <c r="V3" s="730"/>
      <c r="W3" s="731"/>
      <c r="X3" s="297"/>
      <c r="Y3" s="297"/>
    </row>
    <row r="4" spans="1:25" ht="30" customHeight="1" x14ac:dyDescent="0.3">
      <c r="A4" s="13"/>
      <c r="B4" s="546"/>
      <c r="C4" s="734"/>
      <c r="D4" s="547"/>
      <c r="E4" s="537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9"/>
      <c r="R4" s="300" t="s">
        <v>356</v>
      </c>
      <c r="S4" s="735"/>
      <c r="T4" s="735"/>
      <c r="U4" s="736"/>
      <c r="V4" s="736"/>
      <c r="W4" s="737"/>
      <c r="X4" s="297"/>
      <c r="Y4" s="297"/>
    </row>
    <row r="5" spans="1:25" ht="30" customHeight="1" x14ac:dyDescent="0.3">
      <c r="A5" s="13"/>
      <c r="B5" s="233" t="s">
        <v>357</v>
      </c>
      <c r="C5" s="738"/>
      <c r="D5" s="739"/>
      <c r="E5" s="537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9"/>
      <c r="R5" s="300" t="s">
        <v>358</v>
      </c>
      <c r="S5" s="735"/>
      <c r="T5" s="735"/>
      <c r="U5" s="736"/>
      <c r="V5" s="736"/>
      <c r="W5" s="737"/>
      <c r="X5" s="297"/>
      <c r="Y5" s="297"/>
    </row>
    <row r="6" spans="1:25" ht="30" customHeight="1" thickBot="1" x14ac:dyDescent="0.35">
      <c r="A6" s="13"/>
      <c r="B6" s="301" t="s">
        <v>359</v>
      </c>
      <c r="C6" s="745"/>
      <c r="D6" s="746"/>
      <c r="E6" s="540"/>
      <c r="F6" s="541"/>
      <c r="G6" s="541"/>
      <c r="H6" s="541"/>
      <c r="I6" s="541"/>
      <c r="J6" s="541"/>
      <c r="K6" s="541"/>
      <c r="L6" s="541"/>
      <c r="M6" s="541"/>
      <c r="N6" s="541"/>
      <c r="O6" s="541"/>
      <c r="P6" s="541"/>
      <c r="Q6" s="542"/>
      <c r="R6" s="302" t="s">
        <v>360</v>
      </c>
      <c r="S6" s="516"/>
      <c r="T6" s="516"/>
      <c r="U6" s="747" t="s">
        <v>361</v>
      </c>
      <c r="V6" s="748"/>
      <c r="W6" s="294"/>
      <c r="X6" s="297"/>
      <c r="Y6" s="297"/>
    </row>
    <row r="7" spans="1:25" ht="18.600000000000001" thickBot="1" x14ac:dyDescent="0.4">
      <c r="B7" s="749"/>
      <c r="C7" s="750"/>
      <c r="D7" s="750"/>
      <c r="E7" s="750"/>
      <c r="F7" s="750"/>
      <c r="G7" s="750"/>
      <c r="H7" s="750"/>
      <c r="I7" s="750"/>
      <c r="J7" s="750"/>
      <c r="K7" s="750"/>
      <c r="L7" s="750"/>
      <c r="M7" s="750"/>
      <c r="N7" s="750"/>
      <c r="O7" s="750"/>
      <c r="P7" s="750"/>
      <c r="Q7" s="750"/>
      <c r="R7" s="750"/>
      <c r="S7" s="750"/>
      <c r="T7" s="750"/>
      <c r="U7" s="750"/>
      <c r="V7" s="750"/>
      <c r="W7" s="751"/>
    </row>
    <row r="8" spans="1:25" s="303" customFormat="1" ht="63" thickBot="1" x14ac:dyDescent="0.35">
      <c r="B8" s="304" t="s">
        <v>418</v>
      </c>
      <c r="C8" s="752" t="s">
        <v>419</v>
      </c>
      <c r="D8" s="752"/>
      <c r="E8" s="305" t="s">
        <v>420</v>
      </c>
      <c r="F8" s="305" t="s">
        <v>79</v>
      </c>
      <c r="G8" s="305" t="s">
        <v>421</v>
      </c>
      <c r="H8" s="305" t="s">
        <v>422</v>
      </c>
      <c r="I8" s="305" t="s">
        <v>423</v>
      </c>
      <c r="J8" s="305" t="s">
        <v>424</v>
      </c>
      <c r="K8" s="305" t="s">
        <v>425</v>
      </c>
      <c r="L8" s="305" t="s">
        <v>426</v>
      </c>
      <c r="M8" s="305" t="s">
        <v>427</v>
      </c>
      <c r="N8" s="305" t="s">
        <v>428</v>
      </c>
      <c r="O8" s="305" t="s">
        <v>429</v>
      </c>
      <c r="P8" s="305" t="s">
        <v>430</v>
      </c>
      <c r="Q8" s="305" t="s">
        <v>431</v>
      </c>
      <c r="R8" s="305" t="s">
        <v>432</v>
      </c>
      <c r="S8" s="306" t="s">
        <v>433</v>
      </c>
      <c r="T8" s="305" t="s">
        <v>434</v>
      </c>
      <c r="U8" s="305" t="s">
        <v>435</v>
      </c>
      <c r="V8" s="305" t="s">
        <v>436</v>
      </c>
      <c r="W8" s="307" t="s">
        <v>437</v>
      </c>
    </row>
    <row r="9" spans="1:25" ht="25.05" customHeight="1" thickBot="1" x14ac:dyDescent="0.35">
      <c r="B9" s="308"/>
      <c r="C9" s="309" t="s">
        <v>438</v>
      </c>
      <c r="D9" s="310" t="s">
        <v>439</v>
      </c>
      <c r="E9" s="740"/>
      <c r="F9" s="741"/>
      <c r="G9" s="741"/>
      <c r="H9" s="741"/>
      <c r="I9" s="741"/>
      <c r="J9" s="741"/>
      <c r="K9" s="741"/>
      <c r="L9" s="741"/>
      <c r="M9" s="741"/>
      <c r="N9" s="741"/>
      <c r="O9" s="741"/>
      <c r="P9" s="741"/>
      <c r="Q9" s="741"/>
      <c r="R9" s="741"/>
      <c r="S9" s="741"/>
      <c r="T9" s="741"/>
      <c r="U9" s="741"/>
      <c r="V9" s="741"/>
      <c r="W9" s="742"/>
    </row>
    <row r="10" spans="1:25" ht="25.05" customHeight="1" x14ac:dyDescent="0.3">
      <c r="B10" s="311">
        <v>1</v>
      </c>
      <c r="C10" s="312" t="s">
        <v>451</v>
      </c>
      <c r="D10" s="312" t="s">
        <v>440</v>
      </c>
      <c r="E10" s="312" t="s">
        <v>71</v>
      </c>
      <c r="F10" s="312" t="s">
        <v>452</v>
      </c>
      <c r="G10" s="312">
        <v>1</v>
      </c>
      <c r="H10" s="313">
        <v>0.8</v>
      </c>
      <c r="I10" s="314" t="s">
        <v>96</v>
      </c>
      <c r="J10" s="314" t="s">
        <v>96</v>
      </c>
      <c r="K10" s="314" t="s">
        <v>96</v>
      </c>
      <c r="L10" s="314" t="s">
        <v>96</v>
      </c>
      <c r="M10" s="314" t="s">
        <v>96</v>
      </c>
      <c r="N10" s="314" t="s">
        <v>96</v>
      </c>
      <c r="O10" s="314" t="s">
        <v>96</v>
      </c>
      <c r="P10" s="314" t="s">
        <v>96</v>
      </c>
      <c r="Q10" s="314" t="s">
        <v>96</v>
      </c>
      <c r="R10" s="314" t="s">
        <v>96</v>
      </c>
      <c r="S10" s="314" t="s">
        <v>96</v>
      </c>
      <c r="T10" s="314" t="s">
        <v>96</v>
      </c>
      <c r="U10" s="314" t="s">
        <v>96</v>
      </c>
      <c r="V10" s="314" t="s">
        <v>96</v>
      </c>
      <c r="W10" s="315" t="s">
        <v>96</v>
      </c>
    </row>
    <row r="11" spans="1:25" ht="25.05" customHeight="1" x14ac:dyDescent="0.3">
      <c r="B11" s="316">
        <v>2</v>
      </c>
      <c r="C11" s="317" t="s">
        <v>441</v>
      </c>
      <c r="D11" s="317" t="s">
        <v>442</v>
      </c>
      <c r="E11" s="317" t="s">
        <v>90</v>
      </c>
      <c r="F11" s="317" t="s">
        <v>89</v>
      </c>
      <c r="G11" s="318" t="s">
        <v>445</v>
      </c>
      <c r="H11" s="319">
        <v>2</v>
      </c>
      <c r="I11" s="320" t="s">
        <v>96</v>
      </c>
      <c r="J11" s="320" t="s">
        <v>96</v>
      </c>
      <c r="K11" s="320" t="s">
        <v>96</v>
      </c>
      <c r="L11" s="320" t="s">
        <v>96</v>
      </c>
      <c r="M11" s="320">
        <v>3.5</v>
      </c>
      <c r="N11" s="321">
        <f>M11*H11</f>
        <v>7</v>
      </c>
      <c r="O11" s="320" t="s">
        <v>96</v>
      </c>
      <c r="P11" s="321" t="s">
        <v>96</v>
      </c>
      <c r="Q11" s="320" t="s">
        <v>96</v>
      </c>
      <c r="R11" s="321" t="s">
        <v>96</v>
      </c>
      <c r="S11" s="322">
        <v>650</v>
      </c>
      <c r="T11" s="323" t="s">
        <v>96</v>
      </c>
      <c r="U11" s="321" t="s">
        <v>96</v>
      </c>
      <c r="V11" s="320" t="s">
        <v>96</v>
      </c>
      <c r="W11" s="324" t="s">
        <v>96</v>
      </c>
    </row>
    <row r="12" spans="1:25" ht="25.05" customHeight="1" x14ac:dyDescent="0.3">
      <c r="B12" s="316"/>
      <c r="C12" s="317"/>
      <c r="D12" s="317"/>
      <c r="E12" s="317"/>
      <c r="F12" s="317"/>
      <c r="G12" s="318" t="s">
        <v>453</v>
      </c>
      <c r="H12" s="319">
        <v>2</v>
      </c>
      <c r="I12" s="320" t="s">
        <v>96</v>
      </c>
      <c r="J12" s="320" t="s">
        <v>96</v>
      </c>
      <c r="K12" s="320" t="s">
        <v>96</v>
      </c>
      <c r="L12" s="320" t="s">
        <v>96</v>
      </c>
      <c r="M12" s="320" t="s">
        <v>96</v>
      </c>
      <c r="N12" s="320" t="s">
        <v>96</v>
      </c>
      <c r="O12" s="320">
        <v>1.84</v>
      </c>
      <c r="P12" s="321">
        <f>O12*H12</f>
        <v>3.68</v>
      </c>
      <c r="Q12" s="320" t="s">
        <v>96</v>
      </c>
      <c r="R12" s="321" t="s">
        <v>96</v>
      </c>
      <c r="S12" s="319"/>
      <c r="T12" s="320"/>
      <c r="U12" s="321" t="s">
        <v>96</v>
      </c>
      <c r="V12" s="320" t="s">
        <v>96</v>
      </c>
      <c r="W12" s="324" t="s">
        <v>96</v>
      </c>
    </row>
    <row r="13" spans="1:25" ht="25.05" customHeight="1" x14ac:dyDescent="0.3">
      <c r="B13" s="316">
        <v>3</v>
      </c>
      <c r="C13" s="317" t="s">
        <v>454</v>
      </c>
      <c r="D13" s="317" t="s">
        <v>455</v>
      </c>
      <c r="E13" s="317" t="s">
        <v>112</v>
      </c>
      <c r="F13" s="317" t="s">
        <v>92</v>
      </c>
      <c r="G13" s="325" t="s">
        <v>445</v>
      </c>
      <c r="H13" s="319">
        <v>1</v>
      </c>
      <c r="I13" s="320" t="s">
        <v>96</v>
      </c>
      <c r="J13" s="320" t="s">
        <v>96</v>
      </c>
      <c r="K13" s="320" t="s">
        <v>96</v>
      </c>
      <c r="L13" s="320" t="s">
        <v>96</v>
      </c>
      <c r="M13" s="320">
        <v>1.02</v>
      </c>
      <c r="N13" s="321">
        <f>M13*H13</f>
        <v>1.02</v>
      </c>
      <c r="O13" s="320" t="s">
        <v>96</v>
      </c>
      <c r="P13" s="321" t="s">
        <v>96</v>
      </c>
      <c r="Q13" s="320" t="s">
        <v>96</v>
      </c>
      <c r="R13" s="321" t="s">
        <v>96</v>
      </c>
      <c r="S13" s="322">
        <v>650</v>
      </c>
      <c r="T13" s="320"/>
      <c r="U13" s="321" t="s">
        <v>96</v>
      </c>
      <c r="V13" s="320" t="s">
        <v>96</v>
      </c>
      <c r="W13" s="324" t="s">
        <v>96</v>
      </c>
    </row>
    <row r="14" spans="1:25" ht="25.05" customHeight="1" x14ac:dyDescent="0.3">
      <c r="B14" s="316">
        <v>4</v>
      </c>
      <c r="C14" s="317" t="s">
        <v>456</v>
      </c>
      <c r="D14" s="317" t="s">
        <v>444</v>
      </c>
      <c r="E14" s="317" t="s">
        <v>71</v>
      </c>
      <c r="F14" s="317" t="s">
        <v>92</v>
      </c>
      <c r="G14" s="325" t="s">
        <v>457</v>
      </c>
      <c r="H14" s="319">
        <v>3</v>
      </c>
      <c r="I14" s="320" t="s">
        <v>96</v>
      </c>
      <c r="J14" s="320" t="s">
        <v>96</v>
      </c>
      <c r="K14" s="320" t="s">
        <v>96</v>
      </c>
      <c r="L14" s="320" t="s">
        <v>96</v>
      </c>
      <c r="M14" s="320">
        <v>1.4</v>
      </c>
      <c r="N14" s="321">
        <f>M14*H14</f>
        <v>4.1999999999999993</v>
      </c>
      <c r="O14" s="320" t="s">
        <v>96</v>
      </c>
      <c r="P14" s="321" t="s">
        <v>96</v>
      </c>
      <c r="Q14" s="320" t="s">
        <v>96</v>
      </c>
      <c r="R14" s="321" t="s">
        <v>96</v>
      </c>
      <c r="S14" s="322">
        <v>650</v>
      </c>
      <c r="T14" s="320" t="s">
        <v>96</v>
      </c>
      <c r="U14" s="321" t="s">
        <v>96</v>
      </c>
      <c r="V14" s="320" t="s">
        <v>96</v>
      </c>
      <c r="W14" s="324" t="s">
        <v>96</v>
      </c>
    </row>
    <row r="15" spans="1:25" ht="25.05" customHeight="1" x14ac:dyDescent="0.3">
      <c r="B15" s="316"/>
      <c r="C15" s="317"/>
      <c r="D15" s="317"/>
      <c r="E15" s="317"/>
      <c r="F15" s="317"/>
      <c r="G15" s="318" t="s">
        <v>458</v>
      </c>
      <c r="H15" s="319">
        <v>5</v>
      </c>
      <c r="I15" s="320" t="s">
        <v>96</v>
      </c>
      <c r="J15" s="320" t="s">
        <v>96</v>
      </c>
      <c r="K15" s="320" t="s">
        <v>96</v>
      </c>
      <c r="L15" s="320" t="s">
        <v>96</v>
      </c>
      <c r="M15" s="350">
        <v>0.55000000000000004</v>
      </c>
      <c r="N15" s="351">
        <f>M15*H15</f>
        <v>2.75</v>
      </c>
      <c r="O15" s="320" t="s">
        <v>96</v>
      </c>
      <c r="P15" s="321" t="s">
        <v>96</v>
      </c>
      <c r="Q15" s="320" t="s">
        <v>96</v>
      </c>
      <c r="R15" s="321" t="s">
        <v>96</v>
      </c>
      <c r="S15" s="320" t="s">
        <v>96</v>
      </c>
      <c r="T15" s="320" t="s">
        <v>96</v>
      </c>
      <c r="U15" s="321" t="s">
        <v>96</v>
      </c>
      <c r="V15" s="320" t="s">
        <v>96</v>
      </c>
      <c r="W15" s="324" t="s">
        <v>96</v>
      </c>
    </row>
    <row r="16" spans="1:25" ht="25.05" customHeight="1" x14ac:dyDescent="0.3">
      <c r="B16" s="316"/>
      <c r="C16" s="317"/>
      <c r="D16" s="317"/>
      <c r="E16" s="317"/>
      <c r="F16" s="317"/>
      <c r="G16" s="318" t="s">
        <v>459</v>
      </c>
      <c r="H16" s="319">
        <v>2</v>
      </c>
      <c r="I16" s="320">
        <v>91.15</v>
      </c>
      <c r="J16" s="320">
        <f>I16*H16</f>
        <v>182.3</v>
      </c>
      <c r="K16" s="320" t="s">
        <v>96</v>
      </c>
      <c r="L16" s="320" t="s">
        <v>96</v>
      </c>
      <c r="M16" s="320" t="s">
        <v>96</v>
      </c>
      <c r="N16" s="320" t="s">
        <v>96</v>
      </c>
      <c r="O16" s="320" t="s">
        <v>96</v>
      </c>
      <c r="P16" s="321" t="s">
        <v>96</v>
      </c>
      <c r="Q16" s="320" t="s">
        <v>96</v>
      </c>
      <c r="R16" s="321" t="s">
        <v>96</v>
      </c>
      <c r="S16" s="320" t="s">
        <v>96</v>
      </c>
      <c r="T16" s="320" t="s">
        <v>96</v>
      </c>
      <c r="U16" s="321" t="s">
        <v>96</v>
      </c>
      <c r="V16" s="320" t="s">
        <v>96</v>
      </c>
      <c r="W16" s="324" t="s">
        <v>96</v>
      </c>
    </row>
    <row r="17" spans="2:23" ht="25.05" customHeight="1" x14ac:dyDescent="0.3">
      <c r="B17" s="316"/>
      <c r="C17" s="317"/>
      <c r="D17" s="317"/>
      <c r="E17" s="317"/>
      <c r="F17" s="317"/>
      <c r="G17" s="318" t="s">
        <v>460</v>
      </c>
      <c r="H17" s="319">
        <v>1</v>
      </c>
      <c r="I17" s="320">
        <v>6.86</v>
      </c>
      <c r="J17" s="320">
        <f>I17*H17</f>
        <v>6.86</v>
      </c>
      <c r="K17" s="320" t="s">
        <v>96</v>
      </c>
      <c r="L17" s="320" t="s">
        <v>96</v>
      </c>
      <c r="M17" s="320" t="s">
        <v>96</v>
      </c>
      <c r="N17" s="320" t="s">
        <v>96</v>
      </c>
      <c r="O17" s="320" t="s">
        <v>96</v>
      </c>
      <c r="P17" s="321" t="s">
        <v>96</v>
      </c>
      <c r="Q17" s="320" t="s">
        <v>96</v>
      </c>
      <c r="R17" s="321" t="s">
        <v>96</v>
      </c>
      <c r="S17" s="320" t="s">
        <v>96</v>
      </c>
      <c r="T17" s="323" t="s">
        <v>96</v>
      </c>
      <c r="U17" s="321" t="s">
        <v>96</v>
      </c>
      <c r="V17" s="320" t="s">
        <v>96</v>
      </c>
      <c r="W17" s="324" t="s">
        <v>96</v>
      </c>
    </row>
    <row r="18" spans="2:23" ht="25.05" customHeight="1" x14ac:dyDescent="0.3">
      <c r="B18" s="316"/>
      <c r="C18" s="317"/>
      <c r="D18" s="317"/>
      <c r="E18" s="317"/>
      <c r="F18" s="317"/>
      <c r="G18" s="318" t="s">
        <v>461</v>
      </c>
      <c r="H18" s="319">
        <v>0.5</v>
      </c>
      <c r="I18" s="319">
        <v>34.31</v>
      </c>
      <c r="J18" s="319">
        <f t="shared" ref="J18:J59" si="0">I18*H18</f>
        <v>17.155000000000001</v>
      </c>
      <c r="K18" s="320" t="s">
        <v>96</v>
      </c>
      <c r="L18" s="320" t="s">
        <v>96</v>
      </c>
      <c r="M18" s="320" t="s">
        <v>96</v>
      </c>
      <c r="N18" s="320" t="s">
        <v>96</v>
      </c>
      <c r="O18" s="320" t="s">
        <v>96</v>
      </c>
      <c r="P18" s="321" t="s">
        <v>96</v>
      </c>
      <c r="Q18" s="320" t="s">
        <v>96</v>
      </c>
      <c r="R18" s="321" t="s">
        <v>96</v>
      </c>
      <c r="S18" s="320" t="s">
        <v>96</v>
      </c>
      <c r="T18" s="320" t="s">
        <v>96</v>
      </c>
      <c r="U18" s="321" t="s">
        <v>96</v>
      </c>
      <c r="V18" s="320" t="s">
        <v>96</v>
      </c>
      <c r="W18" s="324" t="s">
        <v>96</v>
      </c>
    </row>
    <row r="19" spans="2:23" ht="25.05" customHeight="1" x14ac:dyDescent="0.3">
      <c r="B19" s="316"/>
      <c r="C19" s="317"/>
      <c r="D19" s="317"/>
      <c r="E19" s="317"/>
      <c r="F19" s="317"/>
      <c r="G19" s="318" t="s">
        <v>462</v>
      </c>
      <c r="H19" s="319">
        <v>0.7</v>
      </c>
      <c r="I19" s="320">
        <v>30.88</v>
      </c>
      <c r="J19" s="319">
        <f t="shared" si="0"/>
        <v>21.616</v>
      </c>
      <c r="K19" s="320" t="s">
        <v>96</v>
      </c>
      <c r="L19" s="320" t="s">
        <v>96</v>
      </c>
      <c r="M19" s="320">
        <v>2.08</v>
      </c>
      <c r="N19" s="320">
        <f>M19*H19</f>
        <v>1.456</v>
      </c>
      <c r="O19" s="320" t="s">
        <v>96</v>
      </c>
      <c r="P19" s="321" t="s">
        <v>96</v>
      </c>
      <c r="Q19" s="320" t="s">
        <v>96</v>
      </c>
      <c r="R19" s="321" t="s">
        <v>96</v>
      </c>
      <c r="S19" s="321" t="s">
        <v>96</v>
      </c>
      <c r="T19" s="321" t="s">
        <v>96</v>
      </c>
      <c r="U19" s="321" t="s">
        <v>96</v>
      </c>
      <c r="V19" s="320" t="s">
        <v>96</v>
      </c>
      <c r="W19" s="324" t="s">
        <v>96</v>
      </c>
    </row>
    <row r="20" spans="2:23" ht="25.05" customHeight="1" x14ac:dyDescent="0.3">
      <c r="B20" s="316"/>
      <c r="C20" s="317"/>
      <c r="D20" s="317"/>
      <c r="E20" s="317"/>
      <c r="F20" s="317"/>
      <c r="G20" s="318" t="s">
        <v>463</v>
      </c>
      <c r="H20" s="319">
        <v>1</v>
      </c>
      <c r="I20" s="320">
        <v>20.73</v>
      </c>
      <c r="J20" s="319">
        <f t="shared" si="0"/>
        <v>20.73</v>
      </c>
      <c r="K20" s="320" t="s">
        <v>96</v>
      </c>
      <c r="L20" s="320" t="s">
        <v>96</v>
      </c>
      <c r="M20" s="320" t="s">
        <v>96</v>
      </c>
      <c r="N20" s="320" t="s">
        <v>96</v>
      </c>
      <c r="O20" s="320" t="s">
        <v>96</v>
      </c>
      <c r="P20" s="321" t="s">
        <v>96</v>
      </c>
      <c r="Q20" s="320" t="s">
        <v>96</v>
      </c>
      <c r="R20" s="321" t="s">
        <v>96</v>
      </c>
      <c r="S20" s="321" t="s">
        <v>96</v>
      </c>
      <c r="T20" s="321" t="s">
        <v>96</v>
      </c>
      <c r="U20" s="321" t="s">
        <v>96</v>
      </c>
      <c r="V20" s="320" t="s">
        <v>96</v>
      </c>
      <c r="W20" s="324" t="s">
        <v>96</v>
      </c>
    </row>
    <row r="21" spans="2:23" ht="25.05" customHeight="1" x14ac:dyDescent="0.3">
      <c r="B21" s="316"/>
      <c r="C21" s="317"/>
      <c r="D21" s="317"/>
      <c r="E21" s="317"/>
      <c r="F21" s="317"/>
      <c r="G21" s="318" t="s">
        <v>464</v>
      </c>
      <c r="H21" s="319">
        <v>6</v>
      </c>
      <c r="I21" s="320">
        <v>105.83</v>
      </c>
      <c r="J21" s="319">
        <f t="shared" si="0"/>
        <v>634.98</v>
      </c>
      <c r="K21" s="320" t="s">
        <v>96</v>
      </c>
      <c r="L21" s="320" t="s">
        <v>96</v>
      </c>
      <c r="M21" s="320" t="s">
        <v>96</v>
      </c>
      <c r="N21" s="320" t="s">
        <v>96</v>
      </c>
      <c r="O21" s="320" t="s">
        <v>96</v>
      </c>
      <c r="P21" s="321" t="s">
        <v>96</v>
      </c>
      <c r="Q21" s="320" t="s">
        <v>96</v>
      </c>
      <c r="R21" s="321" t="s">
        <v>96</v>
      </c>
      <c r="S21" s="321" t="s">
        <v>96</v>
      </c>
      <c r="T21" s="321" t="s">
        <v>96</v>
      </c>
      <c r="U21" s="321" t="s">
        <v>96</v>
      </c>
      <c r="V21" s="320" t="s">
        <v>96</v>
      </c>
      <c r="W21" s="324" t="s">
        <v>96</v>
      </c>
    </row>
    <row r="22" spans="2:23" ht="25.05" customHeight="1" x14ac:dyDescent="0.3">
      <c r="B22" s="316"/>
      <c r="C22" s="317"/>
      <c r="D22" s="317"/>
      <c r="E22" s="317"/>
      <c r="F22" s="317"/>
      <c r="G22" s="318" t="s">
        <v>465</v>
      </c>
      <c r="H22" s="319">
        <v>5</v>
      </c>
      <c r="I22" s="320">
        <v>34.5</v>
      </c>
      <c r="J22" s="319">
        <f t="shared" si="0"/>
        <v>172.5</v>
      </c>
      <c r="K22" s="320" t="s">
        <v>96</v>
      </c>
      <c r="L22" s="320" t="s">
        <v>96</v>
      </c>
      <c r="M22" s="320" t="s">
        <v>96</v>
      </c>
      <c r="N22" s="320" t="s">
        <v>96</v>
      </c>
      <c r="O22" s="320" t="s">
        <v>96</v>
      </c>
      <c r="P22" s="321" t="s">
        <v>96</v>
      </c>
      <c r="Q22" s="320" t="s">
        <v>96</v>
      </c>
      <c r="R22" s="321" t="s">
        <v>96</v>
      </c>
      <c r="S22" s="323">
        <v>700</v>
      </c>
      <c r="T22" s="320"/>
      <c r="U22" s="321" t="s">
        <v>96</v>
      </c>
      <c r="V22" s="320" t="s">
        <v>96</v>
      </c>
      <c r="W22" s="324" t="s">
        <v>96</v>
      </c>
    </row>
    <row r="23" spans="2:23" ht="25.05" customHeight="1" x14ac:dyDescent="0.3">
      <c r="B23" s="316"/>
      <c r="C23" s="317"/>
      <c r="D23" s="317" t="s">
        <v>137</v>
      </c>
      <c r="E23" s="317"/>
      <c r="F23" s="317"/>
      <c r="G23" s="318" t="s">
        <v>466</v>
      </c>
      <c r="H23" s="319">
        <v>1</v>
      </c>
      <c r="I23" s="320" t="s">
        <v>96</v>
      </c>
      <c r="J23" s="320" t="s">
        <v>96</v>
      </c>
      <c r="K23" s="320">
        <v>9.6300000000000008</v>
      </c>
      <c r="L23" s="320">
        <f>K23*H23</f>
        <v>9.6300000000000008</v>
      </c>
      <c r="M23" s="320"/>
      <c r="N23" s="320"/>
      <c r="O23" s="320" t="s">
        <v>96</v>
      </c>
      <c r="P23" s="321" t="s">
        <v>96</v>
      </c>
      <c r="Q23" s="320" t="s">
        <v>96</v>
      </c>
      <c r="R23" s="321" t="s">
        <v>96</v>
      </c>
      <c r="S23" s="321" t="s">
        <v>96</v>
      </c>
      <c r="T23" s="321" t="s">
        <v>96</v>
      </c>
      <c r="U23" s="321" t="s">
        <v>96</v>
      </c>
      <c r="V23" s="320" t="s">
        <v>96</v>
      </c>
      <c r="W23" s="324" t="s">
        <v>96</v>
      </c>
    </row>
    <row r="24" spans="2:23" ht="25.05" customHeight="1" x14ac:dyDescent="0.3">
      <c r="B24" s="316"/>
      <c r="C24" s="317"/>
      <c r="D24" s="317"/>
      <c r="E24" s="317"/>
      <c r="F24" s="317"/>
      <c r="G24" s="318" t="s">
        <v>467</v>
      </c>
      <c r="H24" s="319">
        <v>0.75</v>
      </c>
      <c r="I24" s="320" t="s">
        <v>96</v>
      </c>
      <c r="J24" s="320" t="s">
        <v>96</v>
      </c>
      <c r="K24" s="320" t="s">
        <v>96</v>
      </c>
      <c r="L24" s="320" t="s">
        <v>96</v>
      </c>
      <c r="M24" s="320">
        <v>5.14</v>
      </c>
      <c r="N24" s="320">
        <f>M24*H24</f>
        <v>3.8549999999999995</v>
      </c>
      <c r="O24" s="320" t="s">
        <v>96</v>
      </c>
      <c r="P24" s="321" t="s">
        <v>96</v>
      </c>
      <c r="Q24" s="320" t="s">
        <v>96</v>
      </c>
      <c r="R24" s="321" t="s">
        <v>96</v>
      </c>
      <c r="S24" s="321" t="s">
        <v>96</v>
      </c>
      <c r="T24" s="321" t="s">
        <v>96</v>
      </c>
      <c r="U24" s="321" t="s">
        <v>96</v>
      </c>
      <c r="V24" s="320" t="s">
        <v>96</v>
      </c>
      <c r="W24" s="324" t="s">
        <v>96</v>
      </c>
    </row>
    <row r="25" spans="2:23" ht="25.05" customHeight="1" x14ac:dyDescent="0.3">
      <c r="B25" s="316"/>
      <c r="C25" s="317"/>
      <c r="D25" s="317"/>
      <c r="E25" s="317"/>
      <c r="F25" s="317"/>
      <c r="G25" s="743" t="s">
        <v>468</v>
      </c>
      <c r="H25" s="319">
        <v>0.75</v>
      </c>
      <c r="I25" s="320" t="s">
        <v>96</v>
      </c>
      <c r="J25" s="320" t="s">
        <v>96</v>
      </c>
      <c r="K25" s="320" t="s">
        <v>96</v>
      </c>
      <c r="L25" s="320" t="s">
        <v>96</v>
      </c>
      <c r="M25" s="320">
        <v>13.55</v>
      </c>
      <c r="N25" s="320">
        <f>M25*H25</f>
        <v>10.162500000000001</v>
      </c>
      <c r="O25" s="320" t="s">
        <v>96</v>
      </c>
      <c r="P25" s="321" t="s">
        <v>96</v>
      </c>
      <c r="Q25" s="320" t="s">
        <v>96</v>
      </c>
      <c r="R25" s="321" t="s">
        <v>96</v>
      </c>
      <c r="S25" s="323">
        <v>600</v>
      </c>
      <c r="T25" s="320"/>
      <c r="U25" s="321" t="s">
        <v>96</v>
      </c>
      <c r="V25" s="320" t="s">
        <v>96</v>
      </c>
      <c r="W25" s="324" t="s">
        <v>96</v>
      </c>
    </row>
    <row r="26" spans="2:23" ht="25.05" customHeight="1" x14ac:dyDescent="0.3">
      <c r="B26" s="316"/>
      <c r="C26" s="317"/>
      <c r="D26" s="317"/>
      <c r="E26" s="317"/>
      <c r="F26" s="317"/>
      <c r="G26" s="744"/>
      <c r="H26" s="319">
        <v>1.25</v>
      </c>
      <c r="I26" s="320" t="s">
        <v>96</v>
      </c>
      <c r="J26" s="320" t="s">
        <v>96</v>
      </c>
      <c r="K26" s="320" t="s">
        <v>96</v>
      </c>
      <c r="L26" s="320" t="s">
        <v>96</v>
      </c>
      <c r="M26" s="320" t="s">
        <v>96</v>
      </c>
      <c r="N26" s="320" t="s">
        <v>96</v>
      </c>
      <c r="O26" s="320">
        <v>6.16</v>
      </c>
      <c r="P26" s="320">
        <f>O26*H26</f>
        <v>7.7</v>
      </c>
      <c r="Q26" s="321" t="s">
        <v>96</v>
      </c>
      <c r="R26" s="321" t="s">
        <v>96</v>
      </c>
      <c r="S26" s="321" t="s">
        <v>96</v>
      </c>
      <c r="T26" s="321" t="s">
        <v>96</v>
      </c>
      <c r="U26" s="321" t="s">
        <v>96</v>
      </c>
      <c r="V26" s="320" t="s">
        <v>96</v>
      </c>
      <c r="W26" s="324" t="s">
        <v>96</v>
      </c>
    </row>
    <row r="27" spans="2:23" ht="25.05" customHeight="1" x14ac:dyDescent="0.3">
      <c r="B27" s="316"/>
      <c r="C27" s="317"/>
      <c r="D27" s="317"/>
      <c r="E27" s="317"/>
      <c r="F27" s="317"/>
      <c r="G27" s="318" t="s">
        <v>469</v>
      </c>
      <c r="H27" s="319">
        <v>6</v>
      </c>
      <c r="I27" s="320" t="s">
        <v>96</v>
      </c>
      <c r="J27" s="320" t="s">
        <v>96</v>
      </c>
      <c r="K27" s="320" t="s">
        <v>96</v>
      </c>
      <c r="L27" s="320" t="s">
        <v>96</v>
      </c>
      <c r="M27" s="320" t="s">
        <v>96</v>
      </c>
      <c r="N27" s="320" t="s">
        <v>96</v>
      </c>
      <c r="O27" s="320">
        <v>1.93</v>
      </c>
      <c r="P27" s="320">
        <f t="shared" ref="P27:P30" si="1">O27*H27</f>
        <v>11.58</v>
      </c>
      <c r="Q27" s="321" t="s">
        <v>96</v>
      </c>
      <c r="R27" s="321" t="s">
        <v>96</v>
      </c>
      <c r="S27" s="321" t="s">
        <v>96</v>
      </c>
      <c r="T27" s="321" t="s">
        <v>96</v>
      </c>
      <c r="U27" s="321" t="s">
        <v>96</v>
      </c>
      <c r="V27" s="320" t="s">
        <v>96</v>
      </c>
      <c r="W27" s="324" t="s">
        <v>96</v>
      </c>
    </row>
    <row r="28" spans="2:23" ht="25.05" customHeight="1" x14ac:dyDescent="0.3">
      <c r="B28" s="316"/>
      <c r="C28" s="317"/>
      <c r="D28" s="317" t="s">
        <v>470</v>
      </c>
      <c r="E28" s="317"/>
      <c r="F28" s="317"/>
      <c r="G28" s="318" t="s">
        <v>471</v>
      </c>
      <c r="H28" s="319">
        <v>2</v>
      </c>
      <c r="I28" s="320" t="s">
        <v>96</v>
      </c>
      <c r="J28" s="320" t="s">
        <v>96</v>
      </c>
      <c r="K28" s="320" t="s">
        <v>96</v>
      </c>
      <c r="L28" s="320" t="s">
        <v>96</v>
      </c>
      <c r="M28" s="320" t="s">
        <v>96</v>
      </c>
      <c r="N28" s="320" t="s">
        <v>96</v>
      </c>
      <c r="O28" s="320">
        <v>1.65</v>
      </c>
      <c r="P28" s="320">
        <f t="shared" si="1"/>
        <v>3.3</v>
      </c>
      <c r="Q28" s="321" t="s">
        <v>96</v>
      </c>
      <c r="R28" s="321" t="s">
        <v>96</v>
      </c>
      <c r="S28" s="321" t="s">
        <v>96</v>
      </c>
      <c r="T28" s="321" t="s">
        <v>96</v>
      </c>
      <c r="U28" s="321" t="s">
        <v>96</v>
      </c>
      <c r="V28" s="320" t="s">
        <v>96</v>
      </c>
      <c r="W28" s="324" t="s">
        <v>96</v>
      </c>
    </row>
    <row r="29" spans="2:23" ht="25.05" customHeight="1" x14ac:dyDescent="0.3">
      <c r="B29" s="316"/>
      <c r="C29" s="317"/>
      <c r="D29" s="317"/>
      <c r="E29" s="317"/>
      <c r="F29" s="317"/>
      <c r="G29" s="318" t="s">
        <v>472</v>
      </c>
      <c r="H29" s="319">
        <v>2</v>
      </c>
      <c r="I29" s="320" t="s">
        <v>96</v>
      </c>
      <c r="J29" s="320" t="s">
        <v>96</v>
      </c>
      <c r="K29" s="320" t="s">
        <v>96</v>
      </c>
      <c r="L29" s="320" t="s">
        <v>96</v>
      </c>
      <c r="M29" s="320" t="s">
        <v>96</v>
      </c>
      <c r="N29" s="320" t="s">
        <v>96</v>
      </c>
      <c r="O29" s="320">
        <v>8.91</v>
      </c>
      <c r="P29" s="320">
        <f t="shared" si="1"/>
        <v>17.82</v>
      </c>
      <c r="Q29" s="321" t="s">
        <v>96</v>
      </c>
      <c r="R29" s="321" t="s">
        <v>96</v>
      </c>
      <c r="S29" s="321" t="s">
        <v>96</v>
      </c>
      <c r="T29" s="321" t="s">
        <v>96</v>
      </c>
      <c r="U29" s="321" t="s">
        <v>96</v>
      </c>
      <c r="V29" s="320" t="s">
        <v>96</v>
      </c>
      <c r="W29" s="324" t="s">
        <v>96</v>
      </c>
    </row>
    <row r="30" spans="2:23" ht="25.05" customHeight="1" x14ac:dyDescent="0.3">
      <c r="B30" s="316"/>
      <c r="C30" s="317"/>
      <c r="D30" s="317"/>
      <c r="E30" s="317"/>
      <c r="F30" s="317"/>
      <c r="G30" s="318" t="s">
        <v>473</v>
      </c>
      <c r="H30" s="319">
        <v>1</v>
      </c>
      <c r="I30" s="320" t="s">
        <v>96</v>
      </c>
      <c r="J30" s="320" t="s">
        <v>96</v>
      </c>
      <c r="K30" s="320" t="s">
        <v>96</v>
      </c>
      <c r="L30" s="320" t="s">
        <v>96</v>
      </c>
      <c r="M30" s="320" t="s">
        <v>96</v>
      </c>
      <c r="N30" s="320" t="s">
        <v>96</v>
      </c>
      <c r="O30" s="320">
        <v>1.65</v>
      </c>
      <c r="P30" s="320">
        <f t="shared" si="1"/>
        <v>1.65</v>
      </c>
      <c r="Q30" s="321" t="s">
        <v>96</v>
      </c>
      <c r="R30" s="321" t="s">
        <v>96</v>
      </c>
      <c r="S30" s="321" t="s">
        <v>96</v>
      </c>
      <c r="T30" s="321" t="s">
        <v>96</v>
      </c>
      <c r="U30" s="321" t="s">
        <v>96</v>
      </c>
      <c r="V30" s="320" t="s">
        <v>96</v>
      </c>
      <c r="W30" s="324" t="s">
        <v>96</v>
      </c>
    </row>
    <row r="31" spans="2:23" ht="25.05" customHeight="1" x14ac:dyDescent="0.3">
      <c r="B31" s="316"/>
      <c r="C31" s="317"/>
      <c r="D31" s="317"/>
      <c r="E31" s="317"/>
      <c r="F31" s="317"/>
      <c r="G31" s="353" t="s">
        <v>474</v>
      </c>
      <c r="H31" s="319">
        <v>1</v>
      </c>
      <c r="I31" s="320" t="s">
        <v>96</v>
      </c>
      <c r="J31" s="320" t="s">
        <v>96</v>
      </c>
      <c r="K31" s="320" t="s">
        <v>96</v>
      </c>
      <c r="L31" s="320" t="s">
        <v>96</v>
      </c>
      <c r="M31" s="320">
        <v>15.33</v>
      </c>
      <c r="N31" s="320">
        <f>M31*H31</f>
        <v>15.33</v>
      </c>
      <c r="O31" s="320" t="s">
        <v>96</v>
      </c>
      <c r="P31" s="320" t="s">
        <v>96</v>
      </c>
      <c r="Q31" s="321" t="s">
        <v>96</v>
      </c>
      <c r="R31" s="321" t="s">
        <v>96</v>
      </c>
      <c r="S31" s="321" t="s">
        <v>96</v>
      </c>
      <c r="T31" s="321" t="s">
        <v>96</v>
      </c>
      <c r="U31" s="321" t="s">
        <v>96</v>
      </c>
      <c r="V31" s="320" t="s">
        <v>96</v>
      </c>
      <c r="W31" s="324" t="s">
        <v>96</v>
      </c>
    </row>
    <row r="32" spans="2:23" ht="25.05" customHeight="1" x14ac:dyDescent="0.3">
      <c r="B32" s="316"/>
      <c r="C32" s="317"/>
      <c r="D32" s="317"/>
      <c r="E32" s="317"/>
      <c r="F32" s="317"/>
      <c r="G32" s="353" t="s">
        <v>475</v>
      </c>
      <c r="H32" s="319">
        <v>1.5</v>
      </c>
      <c r="I32" s="320" t="s">
        <v>96</v>
      </c>
      <c r="J32" s="320" t="s">
        <v>96</v>
      </c>
      <c r="K32" s="320">
        <v>16.510000000000002</v>
      </c>
      <c r="L32" s="320">
        <f>K32*H32</f>
        <v>24.765000000000001</v>
      </c>
      <c r="M32" s="320" t="s">
        <v>96</v>
      </c>
      <c r="N32" s="320" t="s">
        <v>96</v>
      </c>
      <c r="O32" s="320" t="s">
        <v>96</v>
      </c>
      <c r="P32" s="320" t="s">
        <v>96</v>
      </c>
      <c r="Q32" s="321" t="s">
        <v>96</v>
      </c>
      <c r="R32" s="321" t="s">
        <v>96</v>
      </c>
      <c r="S32" s="321" t="s">
        <v>96</v>
      </c>
      <c r="T32" s="321" t="s">
        <v>96</v>
      </c>
      <c r="U32" s="321" t="s">
        <v>96</v>
      </c>
      <c r="V32" s="320" t="s">
        <v>96</v>
      </c>
      <c r="W32" s="324" t="s">
        <v>96</v>
      </c>
    </row>
    <row r="33" spans="2:23" ht="25.05" customHeight="1" x14ac:dyDescent="0.3">
      <c r="B33" s="316"/>
      <c r="C33" s="317"/>
      <c r="D33" s="317"/>
      <c r="E33" s="317"/>
      <c r="F33" s="317"/>
      <c r="G33" s="353" t="s">
        <v>476</v>
      </c>
      <c r="H33" s="319">
        <v>0.5</v>
      </c>
      <c r="I33" s="320">
        <v>208</v>
      </c>
      <c r="J33" s="320">
        <f>I33*H33</f>
        <v>104</v>
      </c>
      <c r="K33" s="320" t="s">
        <v>96</v>
      </c>
      <c r="L33" s="320" t="s">
        <v>96</v>
      </c>
      <c r="M33" s="320" t="s">
        <v>96</v>
      </c>
      <c r="N33" s="320" t="s">
        <v>96</v>
      </c>
      <c r="O33" s="320" t="s">
        <v>96</v>
      </c>
      <c r="P33" s="320" t="s">
        <v>96</v>
      </c>
      <c r="Q33" s="321" t="s">
        <v>96</v>
      </c>
      <c r="R33" s="321" t="s">
        <v>96</v>
      </c>
      <c r="S33" s="321" t="s">
        <v>96</v>
      </c>
      <c r="T33" s="321" t="s">
        <v>96</v>
      </c>
      <c r="U33" s="321" t="s">
        <v>96</v>
      </c>
      <c r="V33" s="320" t="s">
        <v>96</v>
      </c>
      <c r="W33" s="324" t="s">
        <v>96</v>
      </c>
    </row>
    <row r="34" spans="2:23" ht="25.05" customHeight="1" x14ac:dyDescent="0.3">
      <c r="B34" s="316"/>
      <c r="C34" s="317"/>
      <c r="D34" s="317"/>
      <c r="E34" s="317"/>
      <c r="F34" s="317"/>
      <c r="G34" s="318" t="s">
        <v>477</v>
      </c>
      <c r="H34" s="319">
        <v>1</v>
      </c>
      <c r="I34" s="320" t="s">
        <v>96</v>
      </c>
      <c r="J34" s="320" t="s">
        <v>96</v>
      </c>
      <c r="K34" s="320" t="s">
        <v>96</v>
      </c>
      <c r="L34" s="320" t="s">
        <v>96</v>
      </c>
      <c r="M34" s="320">
        <v>0.56000000000000005</v>
      </c>
      <c r="N34" s="320">
        <f>M34*H34</f>
        <v>0.56000000000000005</v>
      </c>
      <c r="O34" s="320" t="s">
        <v>96</v>
      </c>
      <c r="P34" s="320" t="s">
        <v>96</v>
      </c>
      <c r="Q34" s="321" t="s">
        <v>96</v>
      </c>
      <c r="R34" s="321" t="s">
        <v>96</v>
      </c>
      <c r="S34" s="321" t="s">
        <v>96</v>
      </c>
      <c r="T34" s="321" t="s">
        <v>96</v>
      </c>
      <c r="U34" s="321" t="s">
        <v>96</v>
      </c>
      <c r="V34" s="320" t="s">
        <v>96</v>
      </c>
      <c r="W34" s="324" t="s">
        <v>96</v>
      </c>
    </row>
    <row r="35" spans="2:23" ht="25.05" customHeight="1" x14ac:dyDescent="0.3">
      <c r="B35" s="316"/>
      <c r="C35" s="317"/>
      <c r="D35" s="317"/>
      <c r="E35" s="317"/>
      <c r="F35" s="317"/>
      <c r="G35" s="318" t="s">
        <v>478</v>
      </c>
      <c r="H35" s="319">
        <v>0.67</v>
      </c>
      <c r="I35" s="320" t="s">
        <v>96</v>
      </c>
      <c r="J35" s="320" t="s">
        <v>96</v>
      </c>
      <c r="K35" s="320" t="s">
        <v>96</v>
      </c>
      <c r="L35" s="320" t="s">
        <v>96</v>
      </c>
      <c r="M35" s="320">
        <v>1.58</v>
      </c>
      <c r="N35" s="320">
        <f t="shared" ref="N35:N41" si="2">M35*H35</f>
        <v>1.0586000000000002</v>
      </c>
      <c r="O35" s="320" t="s">
        <v>96</v>
      </c>
      <c r="P35" s="320" t="s">
        <v>96</v>
      </c>
      <c r="Q35" s="321" t="s">
        <v>96</v>
      </c>
      <c r="R35" s="321" t="s">
        <v>96</v>
      </c>
      <c r="S35" s="321" t="s">
        <v>96</v>
      </c>
      <c r="T35" s="321" t="s">
        <v>96</v>
      </c>
      <c r="U35" s="321" t="s">
        <v>96</v>
      </c>
      <c r="V35" s="320" t="s">
        <v>96</v>
      </c>
      <c r="W35" s="324" t="s">
        <v>96</v>
      </c>
    </row>
    <row r="36" spans="2:23" ht="25.05" customHeight="1" x14ac:dyDescent="0.3">
      <c r="B36" s="316"/>
      <c r="C36" s="317"/>
      <c r="D36" s="317"/>
      <c r="E36" s="317"/>
      <c r="F36" s="317"/>
      <c r="G36" s="318" t="s">
        <v>479</v>
      </c>
      <c r="H36" s="319">
        <v>1</v>
      </c>
      <c r="I36" s="320" t="s">
        <v>96</v>
      </c>
      <c r="J36" s="320" t="s">
        <v>96</v>
      </c>
      <c r="K36" s="320" t="s">
        <v>96</v>
      </c>
      <c r="L36" s="320" t="s">
        <v>96</v>
      </c>
      <c r="M36" s="320">
        <v>1.05</v>
      </c>
      <c r="N36" s="320">
        <f t="shared" si="2"/>
        <v>1.05</v>
      </c>
      <c r="O36" s="320" t="s">
        <v>96</v>
      </c>
      <c r="P36" s="320" t="s">
        <v>96</v>
      </c>
      <c r="Q36" s="321" t="s">
        <v>96</v>
      </c>
      <c r="R36" s="321" t="s">
        <v>96</v>
      </c>
      <c r="S36" s="321" t="s">
        <v>96</v>
      </c>
      <c r="T36" s="321" t="s">
        <v>96</v>
      </c>
      <c r="U36" s="321" t="s">
        <v>96</v>
      </c>
      <c r="V36" s="320" t="s">
        <v>96</v>
      </c>
      <c r="W36" s="324" t="s">
        <v>96</v>
      </c>
    </row>
    <row r="37" spans="2:23" ht="25.05" customHeight="1" x14ac:dyDescent="0.3">
      <c r="B37" s="316"/>
      <c r="C37" s="317"/>
      <c r="D37" s="317"/>
      <c r="E37" s="317"/>
      <c r="F37" s="317"/>
      <c r="G37" s="318" t="s">
        <v>480</v>
      </c>
      <c r="H37" s="319">
        <v>1</v>
      </c>
      <c r="I37" s="320" t="s">
        <v>96</v>
      </c>
      <c r="J37" s="320" t="s">
        <v>96</v>
      </c>
      <c r="K37" s="320" t="s">
        <v>96</v>
      </c>
      <c r="L37" s="320" t="s">
        <v>96</v>
      </c>
      <c r="M37" s="320" t="s">
        <v>96</v>
      </c>
      <c r="N37" s="320" t="s">
        <v>96</v>
      </c>
      <c r="O37" s="320" t="s">
        <v>96</v>
      </c>
      <c r="P37" s="320" t="s">
        <v>96</v>
      </c>
      <c r="Q37" s="320" t="s">
        <v>96</v>
      </c>
      <c r="R37" s="320" t="s">
        <v>96</v>
      </c>
      <c r="S37" s="321" t="s">
        <v>96</v>
      </c>
      <c r="T37" s="354" t="s">
        <v>96</v>
      </c>
      <c r="U37" s="321" t="s">
        <v>96</v>
      </c>
      <c r="V37" s="320" t="s">
        <v>96</v>
      </c>
      <c r="W37" s="324" t="s">
        <v>96</v>
      </c>
    </row>
    <row r="38" spans="2:23" ht="25.05" customHeight="1" x14ac:dyDescent="0.3">
      <c r="B38" s="316"/>
      <c r="C38" s="317"/>
      <c r="D38" s="317"/>
      <c r="E38" s="317"/>
      <c r="F38" s="317"/>
      <c r="G38" s="318" t="s">
        <v>481</v>
      </c>
      <c r="H38" s="319">
        <v>1</v>
      </c>
      <c r="I38" s="320" t="s">
        <v>96</v>
      </c>
      <c r="J38" s="320" t="s">
        <v>96</v>
      </c>
      <c r="K38" s="320" t="s">
        <v>96</v>
      </c>
      <c r="L38" s="320" t="s">
        <v>96</v>
      </c>
      <c r="M38" s="320">
        <v>1.05</v>
      </c>
      <c r="N38" s="320">
        <f t="shared" si="2"/>
        <v>1.05</v>
      </c>
      <c r="O38" s="320" t="s">
        <v>96</v>
      </c>
      <c r="P38" s="320" t="s">
        <v>96</v>
      </c>
      <c r="Q38" s="320" t="s">
        <v>96</v>
      </c>
      <c r="R38" s="320" t="s">
        <v>96</v>
      </c>
      <c r="S38" s="321" t="s">
        <v>96</v>
      </c>
      <c r="T38" s="321" t="s">
        <v>96</v>
      </c>
      <c r="U38" s="321" t="s">
        <v>96</v>
      </c>
      <c r="V38" s="320" t="s">
        <v>96</v>
      </c>
      <c r="W38" s="324" t="s">
        <v>96</v>
      </c>
    </row>
    <row r="39" spans="2:23" ht="25.05" customHeight="1" x14ac:dyDescent="0.3">
      <c r="B39" s="316"/>
      <c r="C39" s="317"/>
      <c r="D39" s="317"/>
      <c r="E39" s="317"/>
      <c r="F39" s="317"/>
      <c r="G39" s="318" t="s">
        <v>482</v>
      </c>
      <c r="H39" s="319">
        <v>0.5</v>
      </c>
      <c r="I39" s="320" t="s">
        <v>96</v>
      </c>
      <c r="J39" s="320" t="s">
        <v>96</v>
      </c>
      <c r="K39" s="320" t="s">
        <v>96</v>
      </c>
      <c r="L39" s="320" t="s">
        <v>96</v>
      </c>
      <c r="M39" s="320" t="s">
        <v>96</v>
      </c>
      <c r="N39" s="320" t="s">
        <v>96</v>
      </c>
      <c r="O39" s="320" t="s">
        <v>96</v>
      </c>
      <c r="P39" s="320" t="s">
        <v>96</v>
      </c>
      <c r="Q39" s="320" t="s">
        <v>96</v>
      </c>
      <c r="R39" s="320" t="s">
        <v>96</v>
      </c>
      <c r="S39" s="321" t="s">
        <v>96</v>
      </c>
      <c r="T39" s="354" t="s">
        <v>96</v>
      </c>
      <c r="U39" s="321" t="s">
        <v>96</v>
      </c>
      <c r="V39" s="320" t="s">
        <v>96</v>
      </c>
      <c r="W39" s="324" t="s">
        <v>96</v>
      </c>
    </row>
    <row r="40" spans="2:23" ht="25.05" customHeight="1" x14ac:dyDescent="0.3">
      <c r="B40" s="316"/>
      <c r="C40" s="317"/>
      <c r="D40" s="317"/>
      <c r="E40" s="317"/>
      <c r="F40" s="317"/>
      <c r="G40" s="318" t="s">
        <v>483</v>
      </c>
      <c r="H40" s="319">
        <v>1</v>
      </c>
      <c r="I40" s="320" t="s">
        <v>96</v>
      </c>
      <c r="J40" s="320" t="s">
        <v>96</v>
      </c>
      <c r="K40" s="320" t="s">
        <v>96</v>
      </c>
      <c r="L40" s="320" t="s">
        <v>96</v>
      </c>
      <c r="M40" s="320">
        <v>1.05</v>
      </c>
      <c r="N40" s="320">
        <f t="shared" si="2"/>
        <v>1.05</v>
      </c>
      <c r="O40" s="320" t="s">
        <v>96</v>
      </c>
      <c r="P40" s="320" t="s">
        <v>96</v>
      </c>
      <c r="Q40" s="320" t="s">
        <v>96</v>
      </c>
      <c r="R40" s="320" t="s">
        <v>96</v>
      </c>
      <c r="S40" s="321" t="s">
        <v>96</v>
      </c>
      <c r="T40" s="321" t="s">
        <v>96</v>
      </c>
      <c r="U40" s="320" t="s">
        <v>96</v>
      </c>
      <c r="V40" s="320" t="s">
        <v>96</v>
      </c>
      <c r="W40" s="324" t="s">
        <v>96</v>
      </c>
    </row>
    <row r="41" spans="2:23" ht="25.05" customHeight="1" x14ac:dyDescent="0.3">
      <c r="B41" s="316"/>
      <c r="C41" s="317"/>
      <c r="D41" s="317"/>
      <c r="E41" s="317"/>
      <c r="F41" s="317"/>
      <c r="G41" s="318" t="s">
        <v>484</v>
      </c>
      <c r="H41" s="319">
        <v>1</v>
      </c>
      <c r="I41" s="320" t="s">
        <v>96</v>
      </c>
      <c r="J41" s="320" t="s">
        <v>96</v>
      </c>
      <c r="K41" s="320" t="s">
        <v>96</v>
      </c>
      <c r="L41" s="320" t="s">
        <v>96</v>
      </c>
      <c r="M41" s="320">
        <v>1.06</v>
      </c>
      <c r="N41" s="320">
        <f t="shared" si="2"/>
        <v>1.06</v>
      </c>
      <c r="O41" s="320" t="s">
        <v>96</v>
      </c>
      <c r="P41" s="320" t="s">
        <v>96</v>
      </c>
      <c r="Q41" s="320" t="s">
        <v>96</v>
      </c>
      <c r="R41" s="320" t="s">
        <v>96</v>
      </c>
      <c r="S41" s="321" t="s">
        <v>96</v>
      </c>
      <c r="T41" s="321" t="s">
        <v>96</v>
      </c>
      <c r="U41" s="320" t="s">
        <v>96</v>
      </c>
      <c r="V41" s="320" t="s">
        <v>96</v>
      </c>
      <c r="W41" s="324" t="s">
        <v>96</v>
      </c>
    </row>
    <row r="42" spans="2:23" ht="25.05" customHeight="1" x14ac:dyDescent="0.3">
      <c r="B42" s="316"/>
      <c r="C42" s="317"/>
      <c r="D42" s="317"/>
      <c r="E42" s="317"/>
      <c r="F42" s="317"/>
      <c r="G42" s="318" t="s">
        <v>485</v>
      </c>
      <c r="H42" s="319">
        <v>12</v>
      </c>
      <c r="I42" s="320">
        <v>19.059999999999999</v>
      </c>
      <c r="J42" s="320">
        <f>I42*H42</f>
        <v>228.71999999999997</v>
      </c>
      <c r="K42" s="320" t="s">
        <v>96</v>
      </c>
      <c r="L42" s="320" t="s">
        <v>96</v>
      </c>
      <c r="M42" s="320" t="s">
        <v>96</v>
      </c>
      <c r="N42" s="320" t="s">
        <v>96</v>
      </c>
      <c r="O42" s="320" t="s">
        <v>96</v>
      </c>
      <c r="P42" s="320" t="s">
        <v>96</v>
      </c>
      <c r="Q42" s="320" t="s">
        <v>96</v>
      </c>
      <c r="R42" s="320" t="s">
        <v>96</v>
      </c>
      <c r="S42" s="321" t="s">
        <v>96</v>
      </c>
      <c r="T42" s="321" t="s">
        <v>96</v>
      </c>
      <c r="U42" s="320" t="s">
        <v>96</v>
      </c>
      <c r="V42" s="320" t="s">
        <v>96</v>
      </c>
      <c r="W42" s="324" t="s">
        <v>96</v>
      </c>
    </row>
    <row r="43" spans="2:23" ht="25.05" customHeight="1" x14ac:dyDescent="0.3">
      <c r="B43" s="316">
        <v>5</v>
      </c>
      <c r="C43" s="317" t="s">
        <v>486</v>
      </c>
      <c r="D43" s="317" t="s">
        <v>595</v>
      </c>
      <c r="E43" s="317" t="s">
        <v>90</v>
      </c>
      <c r="F43" s="317" t="s">
        <v>89</v>
      </c>
      <c r="G43" s="318" t="s">
        <v>596</v>
      </c>
      <c r="H43" s="319">
        <v>1</v>
      </c>
      <c r="I43" s="320" t="s">
        <v>96</v>
      </c>
      <c r="J43" s="320" t="s">
        <v>96</v>
      </c>
      <c r="K43" s="320">
        <v>14.58</v>
      </c>
      <c r="L43" s="320">
        <f>K43*H43</f>
        <v>14.58</v>
      </c>
      <c r="M43" s="320" t="s">
        <v>96</v>
      </c>
      <c r="N43" s="320" t="s">
        <v>96</v>
      </c>
      <c r="O43" s="320" t="s">
        <v>96</v>
      </c>
      <c r="P43" s="320" t="s">
        <v>96</v>
      </c>
      <c r="Q43" s="320" t="s">
        <v>96</v>
      </c>
      <c r="R43" s="320" t="s">
        <v>96</v>
      </c>
      <c r="S43" s="320" t="s">
        <v>96</v>
      </c>
      <c r="T43" s="320" t="s">
        <v>96</v>
      </c>
      <c r="U43" s="320" t="s">
        <v>96</v>
      </c>
      <c r="V43" s="320" t="s">
        <v>96</v>
      </c>
      <c r="W43" s="324" t="s">
        <v>96</v>
      </c>
    </row>
    <row r="44" spans="2:23" ht="25.05" customHeight="1" x14ac:dyDescent="0.3">
      <c r="B44" s="316"/>
      <c r="C44" s="317"/>
      <c r="D44" s="317"/>
      <c r="E44" s="317"/>
      <c r="F44" s="317"/>
      <c r="G44" s="318" t="s">
        <v>597</v>
      </c>
      <c r="H44" s="319">
        <v>1.5</v>
      </c>
      <c r="I44" s="320" t="s">
        <v>96</v>
      </c>
      <c r="J44" s="320" t="s">
        <v>96</v>
      </c>
      <c r="K44" s="320" t="s">
        <v>96</v>
      </c>
      <c r="L44" s="320" t="s">
        <v>96</v>
      </c>
      <c r="M44" s="320">
        <v>9.7200000000000006</v>
      </c>
      <c r="N44" s="320">
        <f>M44*H44</f>
        <v>14.580000000000002</v>
      </c>
      <c r="O44" s="320" t="s">
        <v>96</v>
      </c>
      <c r="P44" s="320" t="s">
        <v>96</v>
      </c>
      <c r="Q44" s="320" t="s">
        <v>96</v>
      </c>
      <c r="R44" s="320" t="s">
        <v>96</v>
      </c>
      <c r="S44" s="320" t="s">
        <v>96</v>
      </c>
      <c r="T44" s="320" t="s">
        <v>96</v>
      </c>
      <c r="U44" s="320" t="s">
        <v>96</v>
      </c>
      <c r="V44" s="320" t="s">
        <v>96</v>
      </c>
      <c r="W44" s="324" t="s">
        <v>96</v>
      </c>
    </row>
    <row r="45" spans="2:23" ht="25.05" customHeight="1" x14ac:dyDescent="0.3">
      <c r="B45" s="316"/>
      <c r="C45" s="317"/>
      <c r="D45" s="317"/>
      <c r="E45" s="317"/>
      <c r="F45" s="317"/>
      <c r="G45" s="318" t="s">
        <v>598</v>
      </c>
      <c r="H45" s="319">
        <v>0.5</v>
      </c>
      <c r="I45" s="320" t="s">
        <v>96</v>
      </c>
      <c r="J45" s="320" t="s">
        <v>96</v>
      </c>
      <c r="K45" s="320" t="s">
        <v>96</v>
      </c>
      <c r="L45" s="320" t="s">
        <v>96</v>
      </c>
      <c r="M45" s="320" t="s">
        <v>96</v>
      </c>
      <c r="N45" s="320" t="s">
        <v>96</v>
      </c>
      <c r="O45" s="320">
        <v>6.63</v>
      </c>
      <c r="P45" s="320">
        <f>O45*H45</f>
        <v>3.3149999999999999</v>
      </c>
      <c r="Q45" s="320" t="s">
        <v>96</v>
      </c>
      <c r="R45" s="320" t="s">
        <v>96</v>
      </c>
      <c r="S45" s="320" t="s">
        <v>96</v>
      </c>
      <c r="T45" s="320" t="s">
        <v>96</v>
      </c>
      <c r="U45" s="320" t="s">
        <v>96</v>
      </c>
      <c r="V45" s="320" t="s">
        <v>96</v>
      </c>
      <c r="W45" s="324" t="s">
        <v>96</v>
      </c>
    </row>
    <row r="46" spans="2:23" ht="25.05" customHeight="1" x14ac:dyDescent="0.3">
      <c r="B46" s="316"/>
      <c r="C46" s="317"/>
      <c r="D46" s="317"/>
      <c r="E46" s="317"/>
      <c r="F46" s="317"/>
      <c r="G46" s="318" t="s">
        <v>591</v>
      </c>
      <c r="H46" s="319">
        <v>20</v>
      </c>
      <c r="I46" s="320" t="s">
        <v>96</v>
      </c>
      <c r="J46" s="320" t="s">
        <v>96</v>
      </c>
      <c r="K46" s="320" t="s">
        <v>96</v>
      </c>
      <c r="L46" s="320" t="s">
        <v>96</v>
      </c>
      <c r="M46" s="320" t="s">
        <v>96</v>
      </c>
      <c r="N46" s="320" t="s">
        <v>96</v>
      </c>
      <c r="O46" s="320">
        <v>0.66</v>
      </c>
      <c r="P46" s="320">
        <f>O46*H46</f>
        <v>13.200000000000001</v>
      </c>
      <c r="Q46" s="320" t="s">
        <v>96</v>
      </c>
      <c r="R46" s="320" t="s">
        <v>96</v>
      </c>
      <c r="S46" s="320" t="s">
        <v>96</v>
      </c>
      <c r="T46" s="320" t="s">
        <v>96</v>
      </c>
      <c r="U46" s="320" t="s">
        <v>96</v>
      </c>
      <c r="V46" s="320" t="s">
        <v>96</v>
      </c>
      <c r="W46" s="324" t="s">
        <v>96</v>
      </c>
    </row>
    <row r="47" spans="2:23" ht="25.05" customHeight="1" x14ac:dyDescent="0.3">
      <c r="B47" s="316">
        <v>6</v>
      </c>
      <c r="C47" s="326" t="s">
        <v>594</v>
      </c>
      <c r="D47" s="317" t="s">
        <v>446</v>
      </c>
      <c r="E47" s="317" t="s">
        <v>93</v>
      </c>
      <c r="F47" s="317" t="s">
        <v>92</v>
      </c>
      <c r="G47" s="318">
        <v>1</v>
      </c>
      <c r="H47" s="319">
        <v>1.5</v>
      </c>
      <c r="I47" s="320" t="s">
        <v>96</v>
      </c>
      <c r="J47" s="320" t="s">
        <v>96</v>
      </c>
      <c r="K47" s="320" t="s">
        <v>96</v>
      </c>
      <c r="L47" s="320" t="s">
        <v>96</v>
      </c>
      <c r="M47" s="320" t="s">
        <v>96</v>
      </c>
      <c r="N47" s="320" t="s">
        <v>96</v>
      </c>
      <c r="O47" s="320" t="s">
        <v>96</v>
      </c>
      <c r="P47" s="320" t="s">
        <v>96</v>
      </c>
      <c r="Q47" s="320" t="s">
        <v>96</v>
      </c>
      <c r="R47" s="320" t="s">
        <v>96</v>
      </c>
      <c r="S47" s="322">
        <v>700</v>
      </c>
      <c r="T47" s="320" t="s">
        <v>96</v>
      </c>
      <c r="U47" s="321" t="s">
        <v>96</v>
      </c>
      <c r="V47" s="320" t="s">
        <v>96</v>
      </c>
      <c r="W47" s="324" t="s">
        <v>96</v>
      </c>
    </row>
    <row r="48" spans="2:23" ht="25.05" customHeight="1" x14ac:dyDescent="0.3">
      <c r="B48" s="316">
        <v>7</v>
      </c>
      <c r="C48" s="317" t="s">
        <v>486</v>
      </c>
      <c r="D48" s="317" t="s">
        <v>487</v>
      </c>
      <c r="E48" s="317" t="s">
        <v>71</v>
      </c>
      <c r="F48" s="317" t="s">
        <v>92</v>
      </c>
      <c r="G48" s="318" t="s">
        <v>488</v>
      </c>
      <c r="H48" s="319">
        <v>2</v>
      </c>
      <c r="I48" s="320" t="s">
        <v>96</v>
      </c>
      <c r="J48" s="320" t="s">
        <v>96</v>
      </c>
      <c r="K48" s="320" t="s">
        <v>96</v>
      </c>
      <c r="L48" s="320" t="s">
        <v>96</v>
      </c>
      <c r="M48" s="320">
        <v>1.37</v>
      </c>
      <c r="N48" s="320">
        <f>M48*H48</f>
        <v>2.74</v>
      </c>
      <c r="O48" s="320" t="s">
        <v>96</v>
      </c>
      <c r="P48" s="320" t="s">
        <v>96</v>
      </c>
      <c r="Q48" s="320" t="s">
        <v>96</v>
      </c>
      <c r="R48" s="320" t="s">
        <v>96</v>
      </c>
      <c r="S48" s="320" t="s">
        <v>96</v>
      </c>
      <c r="T48" s="320" t="s">
        <v>96</v>
      </c>
      <c r="U48" s="320" t="s">
        <v>96</v>
      </c>
      <c r="V48" s="320" t="s">
        <v>96</v>
      </c>
      <c r="W48" s="324" t="s">
        <v>96</v>
      </c>
    </row>
    <row r="49" spans="2:23" ht="25.05" customHeight="1" x14ac:dyDescent="0.3">
      <c r="B49" s="316">
        <v>8</v>
      </c>
      <c r="C49" s="317" t="s">
        <v>486</v>
      </c>
      <c r="D49" s="317" t="s">
        <v>489</v>
      </c>
      <c r="E49" s="317" t="s">
        <v>112</v>
      </c>
      <c r="F49" s="317" t="s">
        <v>89</v>
      </c>
      <c r="G49" s="318" t="s">
        <v>490</v>
      </c>
      <c r="H49" s="319">
        <v>5</v>
      </c>
      <c r="I49" s="320">
        <v>107.35</v>
      </c>
      <c r="J49" s="320">
        <f>I49*H49</f>
        <v>536.75</v>
      </c>
      <c r="K49" s="320" t="s">
        <v>96</v>
      </c>
      <c r="L49" s="320" t="s">
        <v>96</v>
      </c>
      <c r="M49" s="320" t="s">
        <v>96</v>
      </c>
      <c r="N49" s="320" t="s">
        <v>96</v>
      </c>
      <c r="O49" s="320" t="s">
        <v>96</v>
      </c>
      <c r="P49" s="320" t="s">
        <v>96</v>
      </c>
      <c r="Q49" s="320" t="s">
        <v>96</v>
      </c>
      <c r="R49" s="320" t="s">
        <v>96</v>
      </c>
      <c r="S49" s="320" t="s">
        <v>96</v>
      </c>
      <c r="T49" s="320" t="s">
        <v>96</v>
      </c>
      <c r="U49" s="320" t="s">
        <v>96</v>
      </c>
      <c r="V49" s="320" t="s">
        <v>96</v>
      </c>
      <c r="W49" s="324" t="s">
        <v>96</v>
      </c>
    </row>
    <row r="50" spans="2:23" ht="25.05" customHeight="1" x14ac:dyDescent="0.3">
      <c r="B50" s="316"/>
      <c r="C50" s="317"/>
      <c r="D50" s="317"/>
      <c r="E50" s="317"/>
      <c r="F50" s="317"/>
      <c r="G50" s="318" t="s">
        <v>491</v>
      </c>
      <c r="H50" s="319">
        <v>0.75</v>
      </c>
      <c r="I50" s="320">
        <v>59.48</v>
      </c>
      <c r="J50" s="320">
        <f>I50*H50</f>
        <v>44.61</v>
      </c>
      <c r="K50" s="320" t="s">
        <v>96</v>
      </c>
      <c r="L50" s="320" t="s">
        <v>96</v>
      </c>
      <c r="M50" s="320" t="s">
        <v>96</v>
      </c>
      <c r="N50" s="320" t="s">
        <v>96</v>
      </c>
      <c r="O50" s="320" t="s">
        <v>96</v>
      </c>
      <c r="P50" s="320" t="s">
        <v>96</v>
      </c>
      <c r="Q50" s="320" t="s">
        <v>96</v>
      </c>
      <c r="R50" s="320" t="s">
        <v>96</v>
      </c>
      <c r="S50" s="320" t="s">
        <v>96</v>
      </c>
      <c r="T50" s="320" t="s">
        <v>96</v>
      </c>
      <c r="U50" s="320" t="s">
        <v>96</v>
      </c>
      <c r="V50" s="320" t="s">
        <v>96</v>
      </c>
      <c r="W50" s="324" t="s">
        <v>96</v>
      </c>
    </row>
    <row r="51" spans="2:23" ht="25.05" customHeight="1" x14ac:dyDescent="0.3">
      <c r="B51" s="316"/>
      <c r="C51" s="317"/>
      <c r="D51" s="317"/>
      <c r="E51" s="317"/>
      <c r="F51" s="317"/>
      <c r="G51" s="318" t="s">
        <v>492</v>
      </c>
      <c r="H51" s="319">
        <v>1.5</v>
      </c>
      <c r="I51" s="320" t="s">
        <v>96</v>
      </c>
      <c r="J51" s="320" t="s">
        <v>96</v>
      </c>
      <c r="K51" s="320">
        <v>4.67</v>
      </c>
      <c r="L51" s="320">
        <f>K51*H51</f>
        <v>7.0049999999999999</v>
      </c>
      <c r="M51" s="320" t="s">
        <v>96</v>
      </c>
      <c r="N51" s="320" t="s">
        <v>96</v>
      </c>
      <c r="O51" s="320" t="s">
        <v>96</v>
      </c>
      <c r="P51" s="320" t="s">
        <v>96</v>
      </c>
      <c r="Q51" s="320" t="s">
        <v>96</v>
      </c>
      <c r="R51" s="320" t="s">
        <v>96</v>
      </c>
      <c r="S51" s="320" t="s">
        <v>96</v>
      </c>
      <c r="T51" s="320" t="s">
        <v>96</v>
      </c>
      <c r="U51" s="320" t="s">
        <v>96</v>
      </c>
      <c r="V51" s="320" t="s">
        <v>96</v>
      </c>
      <c r="W51" s="324" t="s">
        <v>96</v>
      </c>
    </row>
    <row r="52" spans="2:23" ht="25.05" customHeight="1" x14ac:dyDescent="0.3">
      <c r="B52" s="316"/>
      <c r="C52" s="317"/>
      <c r="D52" s="317"/>
      <c r="E52" s="317"/>
      <c r="F52" s="317"/>
      <c r="G52" s="318" t="s">
        <v>493</v>
      </c>
      <c r="H52" s="319">
        <v>0.5</v>
      </c>
      <c r="I52" s="320" t="s">
        <v>96</v>
      </c>
      <c r="J52" s="320" t="s">
        <v>96</v>
      </c>
      <c r="K52" s="320" t="s">
        <v>96</v>
      </c>
      <c r="L52" s="320" t="s">
        <v>96</v>
      </c>
      <c r="M52" s="320">
        <v>4.2</v>
      </c>
      <c r="N52" s="320">
        <f>M52*H52</f>
        <v>2.1</v>
      </c>
      <c r="O52" s="320" t="s">
        <v>96</v>
      </c>
      <c r="P52" s="320" t="s">
        <v>96</v>
      </c>
      <c r="Q52" s="320" t="s">
        <v>96</v>
      </c>
      <c r="R52" s="320" t="s">
        <v>96</v>
      </c>
      <c r="S52" s="320" t="s">
        <v>96</v>
      </c>
      <c r="T52" s="320" t="s">
        <v>96</v>
      </c>
      <c r="U52" s="320" t="s">
        <v>96</v>
      </c>
      <c r="V52" s="320" t="s">
        <v>96</v>
      </c>
      <c r="W52" s="324" t="s">
        <v>96</v>
      </c>
    </row>
    <row r="53" spans="2:23" ht="25.05" customHeight="1" x14ac:dyDescent="0.3">
      <c r="B53" s="316">
        <v>9</v>
      </c>
      <c r="C53" s="317" t="s">
        <v>486</v>
      </c>
      <c r="D53" s="317" t="s">
        <v>494</v>
      </c>
      <c r="E53" s="317" t="s">
        <v>71</v>
      </c>
      <c r="F53" s="317" t="s">
        <v>92</v>
      </c>
      <c r="G53" s="318">
        <v>3</v>
      </c>
      <c r="H53" s="319">
        <v>1</v>
      </c>
      <c r="I53" s="320">
        <v>279.41000000000003</v>
      </c>
      <c r="J53" s="320">
        <f>I53*H53</f>
        <v>279.41000000000003</v>
      </c>
      <c r="K53" s="320" t="s">
        <v>96</v>
      </c>
      <c r="L53" s="320" t="s">
        <v>96</v>
      </c>
      <c r="M53" s="320" t="s">
        <v>96</v>
      </c>
      <c r="N53" s="320" t="s">
        <v>96</v>
      </c>
      <c r="O53" s="320" t="s">
        <v>96</v>
      </c>
      <c r="P53" s="320" t="s">
        <v>96</v>
      </c>
      <c r="Q53" s="320" t="s">
        <v>96</v>
      </c>
      <c r="R53" s="320" t="s">
        <v>96</v>
      </c>
      <c r="S53" s="320" t="s">
        <v>96</v>
      </c>
      <c r="T53" s="320" t="s">
        <v>96</v>
      </c>
      <c r="U53" s="320" t="s">
        <v>96</v>
      </c>
      <c r="V53" s="320" t="s">
        <v>96</v>
      </c>
      <c r="W53" s="324" t="s">
        <v>96</v>
      </c>
    </row>
    <row r="54" spans="2:23" ht="25.05" customHeight="1" x14ac:dyDescent="0.3">
      <c r="B54" s="316"/>
      <c r="C54" s="317"/>
      <c r="D54" s="317"/>
      <c r="E54" s="317"/>
      <c r="F54" s="317"/>
      <c r="G54" s="318">
        <v>4</v>
      </c>
      <c r="H54" s="319">
        <v>3</v>
      </c>
      <c r="I54" s="320">
        <v>129.41</v>
      </c>
      <c r="J54" s="320">
        <f>I54*H54</f>
        <v>388.23</v>
      </c>
      <c r="K54" s="320" t="s">
        <v>96</v>
      </c>
      <c r="L54" s="320" t="s">
        <v>96</v>
      </c>
      <c r="M54" s="320" t="s">
        <v>96</v>
      </c>
      <c r="N54" s="320" t="s">
        <v>96</v>
      </c>
      <c r="O54" s="320" t="s">
        <v>96</v>
      </c>
      <c r="P54" s="320" t="s">
        <v>96</v>
      </c>
      <c r="Q54" s="320" t="s">
        <v>96</v>
      </c>
      <c r="R54" s="320" t="s">
        <v>96</v>
      </c>
      <c r="S54" s="320" t="s">
        <v>96</v>
      </c>
      <c r="T54" s="320" t="s">
        <v>96</v>
      </c>
      <c r="U54" s="320" t="s">
        <v>96</v>
      </c>
      <c r="V54" s="320" t="s">
        <v>96</v>
      </c>
      <c r="W54" s="324" t="s">
        <v>96</v>
      </c>
    </row>
    <row r="55" spans="2:23" ht="25.05" customHeight="1" x14ac:dyDescent="0.3">
      <c r="B55" s="316"/>
      <c r="C55" s="317"/>
      <c r="D55" s="317"/>
      <c r="E55" s="317"/>
      <c r="F55" s="317"/>
      <c r="G55" s="318" t="s">
        <v>495</v>
      </c>
      <c r="H55" s="319">
        <v>0.67</v>
      </c>
      <c r="I55" s="320" t="s">
        <v>96</v>
      </c>
      <c r="J55" s="320" t="s">
        <v>96</v>
      </c>
      <c r="K55" s="320">
        <v>5.78</v>
      </c>
      <c r="L55" s="320">
        <f>K55*H55</f>
        <v>3.8726000000000003</v>
      </c>
      <c r="M55" s="320" t="s">
        <v>96</v>
      </c>
      <c r="N55" s="320" t="s">
        <v>96</v>
      </c>
      <c r="O55" s="320" t="s">
        <v>96</v>
      </c>
      <c r="P55" s="320" t="s">
        <v>96</v>
      </c>
      <c r="Q55" s="320" t="s">
        <v>96</v>
      </c>
      <c r="R55" s="320" t="s">
        <v>96</v>
      </c>
      <c r="S55" s="320" t="s">
        <v>96</v>
      </c>
      <c r="T55" s="320" t="s">
        <v>96</v>
      </c>
      <c r="U55" s="320" t="s">
        <v>96</v>
      </c>
      <c r="V55" s="320" t="s">
        <v>96</v>
      </c>
      <c r="W55" s="324" t="s">
        <v>96</v>
      </c>
    </row>
    <row r="56" spans="2:23" ht="24.6" customHeight="1" x14ac:dyDescent="0.3">
      <c r="B56" s="316"/>
      <c r="C56" s="317"/>
      <c r="D56" s="317"/>
      <c r="E56" s="317"/>
      <c r="F56" s="317"/>
      <c r="G56" s="318" t="s">
        <v>496</v>
      </c>
      <c r="H56" s="319">
        <v>0.33</v>
      </c>
      <c r="I56" s="320" t="s">
        <v>96</v>
      </c>
      <c r="J56" s="320" t="s">
        <v>96</v>
      </c>
      <c r="K56" s="320" t="s">
        <v>96</v>
      </c>
      <c r="L56" s="320" t="s">
        <v>96</v>
      </c>
      <c r="M56" s="320">
        <v>2.31</v>
      </c>
      <c r="N56" s="320">
        <f>M56*H56</f>
        <v>0.76230000000000009</v>
      </c>
      <c r="O56" s="320" t="s">
        <v>96</v>
      </c>
      <c r="P56" s="320" t="s">
        <v>96</v>
      </c>
      <c r="Q56" s="320" t="s">
        <v>96</v>
      </c>
      <c r="R56" s="320" t="s">
        <v>96</v>
      </c>
      <c r="S56" s="320" t="s">
        <v>96</v>
      </c>
      <c r="T56" s="320" t="s">
        <v>96</v>
      </c>
      <c r="U56" s="320" t="s">
        <v>96</v>
      </c>
      <c r="V56" s="320" t="s">
        <v>96</v>
      </c>
      <c r="W56" s="324" t="s">
        <v>96</v>
      </c>
    </row>
    <row r="57" spans="2:23" ht="25.05" customHeight="1" x14ac:dyDescent="0.3">
      <c r="B57" s="316"/>
      <c r="C57" s="317"/>
      <c r="D57" s="317"/>
      <c r="E57" s="317"/>
      <c r="F57" s="317"/>
      <c r="G57" s="318">
        <v>21</v>
      </c>
      <c r="H57" s="319">
        <v>6</v>
      </c>
      <c r="I57" s="320" t="s">
        <v>96</v>
      </c>
      <c r="J57" s="320" t="s">
        <v>96</v>
      </c>
      <c r="K57" s="320" t="s">
        <v>96</v>
      </c>
      <c r="L57" s="320" t="s">
        <v>96</v>
      </c>
      <c r="M57" s="320" t="s">
        <v>96</v>
      </c>
      <c r="N57" s="320" t="s">
        <v>96</v>
      </c>
      <c r="O57" s="320">
        <v>2.52</v>
      </c>
      <c r="P57" s="320">
        <f>O57*H57</f>
        <v>15.120000000000001</v>
      </c>
      <c r="Q57" s="320" t="s">
        <v>96</v>
      </c>
      <c r="R57" s="320" t="s">
        <v>96</v>
      </c>
      <c r="S57" s="322">
        <v>700</v>
      </c>
      <c r="T57" s="320" t="s">
        <v>96</v>
      </c>
      <c r="U57" s="321" t="s">
        <v>96</v>
      </c>
      <c r="V57" s="320" t="s">
        <v>96</v>
      </c>
      <c r="W57" s="324" t="s">
        <v>96</v>
      </c>
    </row>
    <row r="58" spans="2:23" ht="25.05" customHeight="1" x14ac:dyDescent="0.3">
      <c r="B58" s="316">
        <v>10</v>
      </c>
      <c r="C58" s="317" t="s">
        <v>447</v>
      </c>
      <c r="D58" s="317" t="s">
        <v>448</v>
      </c>
      <c r="E58" s="317" t="s">
        <v>71</v>
      </c>
      <c r="F58" s="317" t="s">
        <v>92</v>
      </c>
      <c r="G58" s="318">
        <v>2</v>
      </c>
      <c r="H58" s="319">
        <v>2</v>
      </c>
      <c r="I58" s="319">
        <v>177.02</v>
      </c>
      <c r="J58" s="319">
        <f t="shared" si="0"/>
        <v>354.04</v>
      </c>
      <c r="K58" s="320" t="s">
        <v>96</v>
      </c>
      <c r="L58" s="320" t="s">
        <v>96</v>
      </c>
      <c r="M58" s="320" t="s">
        <v>96</v>
      </c>
      <c r="N58" s="320" t="s">
        <v>96</v>
      </c>
      <c r="O58" s="320" t="s">
        <v>96</v>
      </c>
      <c r="P58" s="320" t="s">
        <v>96</v>
      </c>
      <c r="Q58" s="320" t="s">
        <v>96</v>
      </c>
      <c r="R58" s="320" t="s">
        <v>96</v>
      </c>
      <c r="S58" s="320" t="s">
        <v>96</v>
      </c>
      <c r="T58" s="320" t="s">
        <v>96</v>
      </c>
      <c r="U58" s="321" t="s">
        <v>96</v>
      </c>
      <c r="V58" s="320" t="s">
        <v>96</v>
      </c>
      <c r="W58" s="324" t="s">
        <v>96</v>
      </c>
    </row>
    <row r="59" spans="2:23" ht="25.05" customHeight="1" x14ac:dyDescent="0.3">
      <c r="B59" s="476"/>
      <c r="C59" s="477"/>
      <c r="D59" s="477"/>
      <c r="E59" s="477"/>
      <c r="F59" s="477"/>
      <c r="G59" s="352">
        <v>3</v>
      </c>
      <c r="H59" s="478">
        <v>1</v>
      </c>
      <c r="I59" s="478">
        <f>138.83</f>
        <v>138.83000000000001</v>
      </c>
      <c r="J59" s="319">
        <f t="shared" si="0"/>
        <v>138.83000000000001</v>
      </c>
      <c r="K59" s="320" t="s">
        <v>96</v>
      </c>
      <c r="L59" s="320" t="s">
        <v>96</v>
      </c>
      <c r="M59" s="320" t="s">
        <v>96</v>
      </c>
      <c r="N59" s="320" t="s">
        <v>96</v>
      </c>
      <c r="O59" s="320" t="s">
        <v>96</v>
      </c>
      <c r="P59" s="320" t="s">
        <v>96</v>
      </c>
      <c r="Q59" s="320" t="s">
        <v>96</v>
      </c>
      <c r="R59" s="320" t="s">
        <v>96</v>
      </c>
      <c r="S59" s="480">
        <v>700</v>
      </c>
      <c r="T59" s="320" t="s">
        <v>96</v>
      </c>
      <c r="U59" s="321" t="s">
        <v>96</v>
      </c>
      <c r="V59" s="320" t="s">
        <v>96</v>
      </c>
      <c r="W59" s="324" t="s">
        <v>96</v>
      </c>
    </row>
    <row r="60" spans="2:23" ht="25.05" customHeight="1" x14ac:dyDescent="0.3">
      <c r="B60" s="476"/>
      <c r="C60" s="477"/>
      <c r="D60" s="477"/>
      <c r="E60" s="477"/>
      <c r="F60" s="477"/>
      <c r="G60" s="352" t="s">
        <v>492</v>
      </c>
      <c r="H60" s="478">
        <v>1</v>
      </c>
      <c r="I60" s="479" t="s">
        <v>96</v>
      </c>
      <c r="J60" s="479" t="s">
        <v>96</v>
      </c>
      <c r="K60" s="479">
        <v>0.72</v>
      </c>
      <c r="L60" s="479">
        <f>K60*H60</f>
        <v>0.72</v>
      </c>
      <c r="M60" s="320" t="s">
        <v>96</v>
      </c>
      <c r="N60" s="320" t="s">
        <v>96</v>
      </c>
      <c r="O60" s="320" t="s">
        <v>96</v>
      </c>
      <c r="P60" s="320" t="s">
        <v>96</v>
      </c>
      <c r="Q60" s="320" t="s">
        <v>96</v>
      </c>
      <c r="R60" s="320" t="s">
        <v>96</v>
      </c>
      <c r="S60" s="320" t="s">
        <v>96</v>
      </c>
      <c r="T60" s="320" t="s">
        <v>96</v>
      </c>
      <c r="U60" s="320" t="s">
        <v>96</v>
      </c>
      <c r="V60" s="320" t="s">
        <v>96</v>
      </c>
      <c r="W60" s="324" t="s">
        <v>96</v>
      </c>
    </row>
    <row r="61" spans="2:23" ht="25.05" customHeight="1" x14ac:dyDescent="0.3">
      <c r="B61" s="476"/>
      <c r="C61" s="477"/>
      <c r="D61" s="477"/>
      <c r="E61" s="477"/>
      <c r="F61" s="477"/>
      <c r="G61" s="352" t="s">
        <v>493</v>
      </c>
      <c r="H61" s="478">
        <v>1.5</v>
      </c>
      <c r="I61" s="479" t="s">
        <v>96</v>
      </c>
      <c r="J61" s="479" t="s">
        <v>96</v>
      </c>
      <c r="K61" s="479" t="s">
        <v>96</v>
      </c>
      <c r="L61" s="479" t="s">
        <v>96</v>
      </c>
      <c r="M61" s="479">
        <v>0.4</v>
      </c>
      <c r="N61" s="479">
        <f>M61*H61</f>
        <v>0.60000000000000009</v>
      </c>
      <c r="O61" s="320" t="s">
        <v>96</v>
      </c>
      <c r="P61" s="320" t="s">
        <v>96</v>
      </c>
      <c r="Q61" s="320" t="s">
        <v>96</v>
      </c>
      <c r="R61" s="320" t="s">
        <v>96</v>
      </c>
      <c r="S61" s="320" t="s">
        <v>96</v>
      </c>
      <c r="T61" s="320" t="s">
        <v>96</v>
      </c>
      <c r="U61" s="320" t="s">
        <v>96</v>
      </c>
      <c r="V61" s="320" t="s">
        <v>96</v>
      </c>
      <c r="W61" s="324" t="s">
        <v>96</v>
      </c>
    </row>
    <row r="62" spans="2:23" ht="25.05" customHeight="1" thickBot="1" x14ac:dyDescent="0.35">
      <c r="B62" s="327"/>
      <c r="C62" s="328"/>
      <c r="D62" s="328"/>
      <c r="E62" s="328"/>
      <c r="F62" s="328"/>
      <c r="G62" s="329" t="s">
        <v>599</v>
      </c>
      <c r="H62" s="330">
        <v>1</v>
      </c>
      <c r="I62" s="331" t="s">
        <v>96</v>
      </c>
      <c r="J62" s="331" t="s">
        <v>96</v>
      </c>
      <c r="K62" s="331" t="s">
        <v>96</v>
      </c>
      <c r="L62" s="331" t="s">
        <v>96</v>
      </c>
      <c r="M62" s="331" t="s">
        <v>96</v>
      </c>
      <c r="N62" s="331" t="s">
        <v>96</v>
      </c>
      <c r="O62" s="331">
        <v>0.68</v>
      </c>
      <c r="P62" s="331">
        <f>O62*H62</f>
        <v>0.68</v>
      </c>
      <c r="Q62" s="331" t="s">
        <v>96</v>
      </c>
      <c r="R62" s="331" t="s">
        <v>96</v>
      </c>
      <c r="S62" s="332">
        <v>700</v>
      </c>
      <c r="T62" s="331" t="s">
        <v>96</v>
      </c>
      <c r="U62" s="333" t="s">
        <v>96</v>
      </c>
      <c r="V62" s="331" t="s">
        <v>96</v>
      </c>
      <c r="W62" s="334" t="s">
        <v>96</v>
      </c>
    </row>
    <row r="63" spans="2:23" ht="25.05" customHeight="1" x14ac:dyDescent="0.3">
      <c r="B63" s="295"/>
      <c r="C63" s="295"/>
      <c r="D63" s="295"/>
      <c r="E63" s="295"/>
      <c r="F63" s="295"/>
      <c r="G63" s="295"/>
      <c r="H63" s="335" t="s">
        <v>13</v>
      </c>
      <c r="I63" s="336"/>
      <c r="J63" s="337">
        <f>SUM(J10:J62)</f>
        <v>3130.7309999999998</v>
      </c>
      <c r="K63" s="337"/>
      <c r="L63" s="337">
        <f>SUM(L10:L62)</f>
        <v>60.572600000000001</v>
      </c>
      <c r="M63" s="337"/>
      <c r="N63" s="337">
        <f>SUM(N10:N62)</f>
        <v>72.384399999999971</v>
      </c>
      <c r="O63" s="337"/>
      <c r="P63" s="337">
        <f>SUM(P10:P62)</f>
        <v>78.045000000000002</v>
      </c>
      <c r="Q63" s="337"/>
      <c r="R63" s="337">
        <f>SUM(R10:R62)</f>
        <v>0</v>
      </c>
      <c r="S63" s="337"/>
      <c r="T63" s="337"/>
      <c r="U63" s="337"/>
      <c r="V63" s="337"/>
      <c r="W63" s="338"/>
    </row>
    <row r="64" spans="2:23" ht="25.05" customHeight="1" x14ac:dyDescent="0.3">
      <c r="B64" s="295"/>
      <c r="C64" s="295"/>
      <c r="D64" s="295"/>
      <c r="E64" s="295"/>
      <c r="F64" s="295"/>
      <c r="G64" s="295"/>
      <c r="H64" s="339" t="s">
        <v>449</v>
      </c>
      <c r="I64" s="340">
        <f>MAX(I10:I62)</f>
        <v>279.41000000000003</v>
      </c>
      <c r="J64" s="319"/>
      <c r="K64" s="319">
        <f>MAX(K10:K62)</f>
        <v>16.510000000000002</v>
      </c>
      <c r="L64" s="319"/>
      <c r="M64" s="319">
        <f>MAX(M10:M62)</f>
        <v>15.33</v>
      </c>
      <c r="N64" s="319"/>
      <c r="O64" s="319">
        <f>MAX(O10:O62)</f>
        <v>8.91</v>
      </c>
      <c r="P64" s="319"/>
      <c r="Q64" s="319">
        <f>MAX(Q10:Q62)</f>
        <v>0</v>
      </c>
      <c r="R64" s="319"/>
      <c r="S64" s="319">
        <f>MAX(S10:S62)</f>
        <v>700</v>
      </c>
      <c r="T64" s="319"/>
      <c r="U64" s="319"/>
      <c r="V64" s="319"/>
      <c r="W64" s="341"/>
    </row>
    <row r="65" spans="2:23" ht="31.8" thickBot="1" x14ac:dyDescent="0.35">
      <c r="B65" s="295"/>
      <c r="C65" s="295"/>
      <c r="D65" s="295"/>
      <c r="E65" s="295"/>
      <c r="F65" s="295"/>
      <c r="G65" s="295"/>
      <c r="H65" s="342" t="s">
        <v>450</v>
      </c>
      <c r="I65" s="343">
        <v>108.89499130434781</v>
      </c>
      <c r="J65" s="343"/>
      <c r="K65" s="343">
        <v>2.1068730434782608</v>
      </c>
      <c r="L65" s="343"/>
      <c r="M65" s="343">
        <v>2.5177182608695641</v>
      </c>
      <c r="N65" s="343"/>
      <c r="O65" s="343">
        <v>2.7146086956521738</v>
      </c>
      <c r="P65" s="343"/>
      <c r="Q65" s="343">
        <v>0</v>
      </c>
      <c r="R65" s="343"/>
      <c r="S65" s="330"/>
      <c r="T65" s="330"/>
      <c r="U65" s="330"/>
      <c r="V65" s="330"/>
      <c r="W65" s="344"/>
    </row>
    <row r="66" spans="2:23" ht="25.05" customHeight="1" x14ac:dyDescent="0.3"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</row>
    <row r="67" spans="2:23" ht="25.05" customHeight="1" x14ac:dyDescent="0.3"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</row>
    <row r="68" spans="2:23" ht="25.05" customHeight="1" x14ac:dyDescent="0.3"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</row>
    <row r="69" spans="2:23" ht="25.05" customHeight="1" x14ac:dyDescent="0.3"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</row>
    <row r="70" spans="2:23" ht="25.05" customHeight="1" x14ac:dyDescent="0.3"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</row>
    <row r="71" spans="2:23" ht="25.05" customHeight="1" x14ac:dyDescent="0.3">
      <c r="B71" s="295"/>
      <c r="C71" s="295"/>
      <c r="D71" s="295"/>
      <c r="E71" s="295"/>
      <c r="F71" s="295"/>
      <c r="G71" s="295"/>
      <c r="H71" s="295"/>
      <c r="I71" s="295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</row>
    <row r="72" spans="2:23" ht="25.05" customHeight="1" x14ac:dyDescent="0.3"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</row>
    <row r="73" spans="2:23" ht="25.05" customHeight="1" x14ac:dyDescent="0.3"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</row>
    <row r="74" spans="2:23" ht="25.05" customHeight="1" x14ac:dyDescent="0.3"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</row>
    <row r="75" spans="2:23" ht="25.05" customHeight="1" x14ac:dyDescent="0.3">
      <c r="B75" s="295"/>
      <c r="C75" s="295"/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</row>
    <row r="76" spans="2:23" ht="25.05" customHeight="1" x14ac:dyDescent="0.3">
      <c r="B76" s="295"/>
      <c r="C76" s="295"/>
      <c r="D76" s="295"/>
      <c r="E76" s="295"/>
      <c r="F76" s="295"/>
      <c r="G76" s="295"/>
      <c r="H76" s="295"/>
      <c r="I76" s="295"/>
      <c r="J76" s="295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</row>
    <row r="77" spans="2:23" ht="25.05" customHeight="1" x14ac:dyDescent="0.3"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</row>
    <row r="78" spans="2:23" ht="25.05" customHeight="1" x14ac:dyDescent="0.3">
      <c r="B78" s="295"/>
      <c r="C78" s="295"/>
      <c r="D78" s="295"/>
      <c r="E78" s="295"/>
      <c r="F78" s="295"/>
      <c r="G78" s="295"/>
      <c r="H78" s="295"/>
      <c r="I78" s="295"/>
      <c r="J78" s="295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</row>
    <row r="79" spans="2:23" ht="25.05" customHeight="1" x14ac:dyDescent="0.3"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</row>
    <row r="80" spans="2:23" ht="25.05" customHeight="1" x14ac:dyDescent="0.3"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</row>
    <row r="81" spans="2:22" ht="25.05" customHeight="1" x14ac:dyDescent="0.3"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</row>
    <row r="82" spans="2:22" ht="25.05" customHeight="1" x14ac:dyDescent="0.3"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</row>
    <row r="83" spans="2:22" ht="25.05" customHeight="1" x14ac:dyDescent="0.3"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</row>
    <row r="84" spans="2:22" ht="25.05" customHeight="1" x14ac:dyDescent="0.3"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</row>
    <row r="85" spans="2:22" ht="25.05" customHeight="1" x14ac:dyDescent="0.3"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</row>
    <row r="86" spans="2:22" ht="25.05" customHeight="1" x14ac:dyDescent="0.3"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</row>
    <row r="87" spans="2:22" ht="25.05" customHeight="1" x14ac:dyDescent="0.3"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</row>
    <row r="88" spans="2:22" ht="25.05" customHeight="1" x14ac:dyDescent="0.3"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</row>
    <row r="89" spans="2:22" ht="25.05" customHeight="1" x14ac:dyDescent="0.3"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</row>
    <row r="90" spans="2:22" ht="25.05" customHeight="1" x14ac:dyDescent="0.3"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</row>
    <row r="91" spans="2:22" ht="25.05" customHeight="1" x14ac:dyDescent="0.3"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</row>
    <row r="92" spans="2:22" ht="25.05" customHeight="1" x14ac:dyDescent="0.3"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</row>
    <row r="93" spans="2:22" ht="25.05" customHeight="1" x14ac:dyDescent="0.3">
      <c r="B93" s="295"/>
      <c r="C93" s="295"/>
      <c r="D93" s="295"/>
      <c r="E93" s="295"/>
      <c r="F93" s="295"/>
      <c r="G93" s="295"/>
      <c r="H93" s="295"/>
      <c r="I93" s="295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</row>
    <row r="94" spans="2:22" ht="25.05" customHeight="1" x14ac:dyDescent="0.3">
      <c r="B94" s="295"/>
      <c r="C94" s="295"/>
      <c r="D94" s="295"/>
      <c r="E94" s="295"/>
      <c r="F94" s="295"/>
      <c r="G94" s="295"/>
      <c r="H94" s="295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</row>
    <row r="95" spans="2:22" ht="25.05" customHeight="1" x14ac:dyDescent="0.3"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</row>
    <row r="96" spans="2:22" ht="25.05" customHeight="1" x14ac:dyDescent="0.3"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</row>
    <row r="97" spans="2:22" ht="25.05" customHeight="1" x14ac:dyDescent="0.3">
      <c r="B97" s="295"/>
      <c r="C97" s="295"/>
      <c r="D97" s="295"/>
      <c r="E97" s="295"/>
      <c r="F97" s="295"/>
      <c r="G97" s="295"/>
      <c r="H97" s="295"/>
      <c r="I97" s="295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</row>
    <row r="98" spans="2:22" ht="25.05" customHeight="1" x14ac:dyDescent="0.3">
      <c r="B98" s="295"/>
      <c r="C98" s="295"/>
      <c r="D98" s="295"/>
      <c r="E98" s="295"/>
      <c r="F98" s="295"/>
      <c r="G98" s="295"/>
      <c r="H98" s="295"/>
      <c r="I98" s="295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</row>
    <row r="99" spans="2:22" ht="25.05" customHeight="1" x14ac:dyDescent="0.3">
      <c r="B99" s="295"/>
      <c r="C99" s="295"/>
      <c r="D99" s="295"/>
      <c r="E99" s="295"/>
      <c r="F99" s="295"/>
      <c r="G99" s="295"/>
      <c r="H99" s="295"/>
      <c r="I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</row>
    <row r="100" spans="2:22" ht="25.05" customHeight="1" x14ac:dyDescent="0.3"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</row>
    <row r="101" spans="2:22" ht="25.05" customHeight="1" x14ac:dyDescent="0.3"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</row>
    <row r="102" spans="2:22" ht="25.05" customHeight="1" x14ac:dyDescent="0.3"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</row>
    <row r="103" spans="2:22" ht="25.05" customHeight="1" x14ac:dyDescent="0.3"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</row>
    <row r="104" spans="2:22" ht="25.05" customHeight="1" x14ac:dyDescent="0.3"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</row>
    <row r="105" spans="2:22" ht="25.05" customHeight="1" x14ac:dyDescent="0.3"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</row>
    <row r="106" spans="2:22" ht="25.05" customHeight="1" x14ac:dyDescent="0.3"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</row>
    <row r="107" spans="2:22" ht="25.05" customHeight="1" x14ac:dyDescent="0.3"/>
    <row r="108" spans="2:22" ht="25.05" customHeight="1" x14ac:dyDescent="0.3"/>
    <row r="109" spans="2:22" ht="25.05" customHeight="1" x14ac:dyDescent="0.3"/>
    <row r="110" spans="2:22" ht="25.05" customHeight="1" x14ac:dyDescent="0.3"/>
  </sheetData>
  <mergeCells count="18">
    <mergeCell ref="E9:W9"/>
    <mergeCell ref="G25:G26"/>
    <mergeCell ref="S5:T5"/>
    <mergeCell ref="C6:D6"/>
    <mergeCell ref="S6:T6"/>
    <mergeCell ref="U6:V6"/>
    <mergeCell ref="B7:W7"/>
    <mergeCell ref="C8:D8"/>
    <mergeCell ref="B1:D3"/>
    <mergeCell ref="E1:Q6"/>
    <mergeCell ref="S1:T1"/>
    <mergeCell ref="U1:W3"/>
    <mergeCell ref="S2:T2"/>
    <mergeCell ref="S3:T3"/>
    <mergeCell ref="B4:D4"/>
    <mergeCell ref="S4:T4"/>
    <mergeCell ref="U4:W5"/>
    <mergeCell ref="C5:D5"/>
  </mergeCells>
  <phoneticPr fontId="32" type="noConversion"/>
  <conditionalFormatting sqref="E1">
    <cfRule type="duplicateValues" dxfId="0" priority="1"/>
  </conditionalFormatting>
  <pageMargins left="0.7" right="0.7" top="0.75" bottom="0.75" header="0.3" footer="0.3"/>
  <pageSetup orientation="portrait" horizontalDpi="200" verticalDpi="20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A24"/>
  <sheetViews>
    <sheetView showGridLines="0" topLeftCell="B1" zoomScale="40" zoomScaleNormal="40" zoomScaleSheetLayoutView="25" workbookViewId="0">
      <pane ySplit="3" topLeftCell="A4" activePane="bottomLeft" state="frozen"/>
      <selection activeCell="Y19" sqref="Y19"/>
      <selection pane="bottomLeft" activeCell="B2" sqref="B2:W2"/>
    </sheetView>
  </sheetViews>
  <sheetFormatPr defaultRowHeight="14.4" x14ac:dyDescent="0.3"/>
  <cols>
    <col min="1" max="1" width="6.44140625" customWidth="1"/>
    <col min="2" max="2" width="32" bestFit="1" customWidth="1"/>
    <col min="3" max="3" width="29.77734375" customWidth="1"/>
    <col min="4" max="4" width="18.21875" customWidth="1"/>
    <col min="5" max="5" width="23.21875" customWidth="1"/>
    <col min="6" max="6" width="25" customWidth="1"/>
    <col min="7" max="7" width="16.77734375" bestFit="1" customWidth="1"/>
    <col min="8" max="8" width="20.44140625" customWidth="1"/>
    <col min="9" max="9" width="22.77734375" customWidth="1"/>
    <col min="10" max="10" width="17.77734375" customWidth="1"/>
    <col min="11" max="11" width="13.77734375" customWidth="1"/>
    <col min="12" max="12" width="16" customWidth="1"/>
    <col min="13" max="13" width="19.77734375" customWidth="1"/>
    <col min="14" max="14" width="23.21875" customWidth="1"/>
    <col min="15" max="16" width="18.5546875" customWidth="1"/>
    <col min="17" max="17" width="23" customWidth="1"/>
    <col min="18" max="18" width="20.44140625" customWidth="1"/>
    <col min="19" max="19" width="17.44140625" customWidth="1"/>
    <col min="20" max="20" width="26.21875" customWidth="1"/>
    <col min="21" max="21" width="19" customWidth="1"/>
    <col min="22" max="22" width="23.44140625" customWidth="1"/>
    <col min="23" max="23" width="33.77734375" bestFit="1" customWidth="1"/>
    <col min="24" max="24" width="5.77734375" customWidth="1"/>
    <col min="25" max="25" width="19.21875" customWidth="1"/>
    <col min="26" max="26" width="22.77734375" customWidth="1"/>
  </cols>
  <sheetData>
    <row r="1" spans="1:27" ht="21.6" customHeight="1" thickBot="1" x14ac:dyDescent="0.35"/>
    <row r="2" spans="1:27" ht="55.05" customHeight="1" thickBot="1" x14ac:dyDescent="0.35">
      <c r="B2" s="753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  <c r="R2" s="754"/>
      <c r="S2" s="754"/>
      <c r="T2" s="754"/>
      <c r="U2" s="754"/>
      <c r="V2" s="754"/>
      <c r="W2" s="755"/>
      <c r="AA2" s="103"/>
    </row>
    <row r="3" spans="1:27" ht="76.8" customHeight="1" thickBot="1" x14ac:dyDescent="0.35">
      <c r="B3" s="194" t="s">
        <v>161</v>
      </c>
      <c r="C3" s="195" t="s">
        <v>162</v>
      </c>
      <c r="D3" s="195" t="s">
        <v>163</v>
      </c>
      <c r="E3" s="196" t="s">
        <v>164</v>
      </c>
      <c r="F3" s="195" t="s">
        <v>165</v>
      </c>
      <c r="G3" s="196" t="s">
        <v>166</v>
      </c>
      <c r="H3" s="196" t="s">
        <v>167</v>
      </c>
      <c r="I3" s="196" t="s">
        <v>168</v>
      </c>
      <c r="J3" s="196" t="s">
        <v>169</v>
      </c>
      <c r="K3" s="196" t="s">
        <v>170</v>
      </c>
      <c r="L3" s="195" t="s">
        <v>171</v>
      </c>
      <c r="M3" s="195" t="s">
        <v>172</v>
      </c>
      <c r="N3" s="195" t="s">
        <v>173</v>
      </c>
      <c r="O3" s="196" t="s">
        <v>174</v>
      </c>
      <c r="P3" s="196" t="s">
        <v>175</v>
      </c>
      <c r="Q3" s="196" t="s">
        <v>176</v>
      </c>
      <c r="R3" s="197" t="s">
        <v>177</v>
      </c>
      <c r="S3" s="196" t="s">
        <v>178</v>
      </c>
      <c r="T3" s="196" t="s">
        <v>179</v>
      </c>
      <c r="U3" s="196" t="s">
        <v>180</v>
      </c>
      <c r="V3" s="198" t="s">
        <v>181</v>
      </c>
      <c r="W3" s="199" t="s">
        <v>182</v>
      </c>
      <c r="Y3" s="104"/>
    </row>
    <row r="4" spans="1:27" s="14" customFormat="1" ht="65.099999999999994" customHeight="1" x14ac:dyDescent="0.3">
      <c r="B4" s="106" t="s">
        <v>131</v>
      </c>
      <c r="C4" s="107" t="s">
        <v>96</v>
      </c>
      <c r="D4" s="107" t="s">
        <v>96</v>
      </c>
      <c r="E4" s="108" t="s">
        <v>96</v>
      </c>
      <c r="F4" s="107" t="s">
        <v>256</v>
      </c>
      <c r="G4" s="107" t="s">
        <v>96</v>
      </c>
      <c r="H4" s="109">
        <v>661</v>
      </c>
      <c r="I4" s="110">
        <v>0.65900000000000003</v>
      </c>
      <c r="J4" s="111">
        <v>-95</v>
      </c>
      <c r="K4" s="112">
        <v>69</v>
      </c>
      <c r="L4" s="108">
        <v>-22</v>
      </c>
      <c r="M4" s="108">
        <v>2.97</v>
      </c>
      <c r="N4" s="108">
        <v>223</v>
      </c>
      <c r="O4" s="113" t="s">
        <v>249</v>
      </c>
      <c r="P4" s="114" t="s">
        <v>249</v>
      </c>
      <c r="Q4" s="115" t="s">
        <v>249</v>
      </c>
      <c r="R4" s="176" t="s">
        <v>249</v>
      </c>
      <c r="S4" s="108" t="s">
        <v>249</v>
      </c>
      <c r="T4" s="108" t="s">
        <v>257</v>
      </c>
      <c r="U4" s="108">
        <v>0.31</v>
      </c>
      <c r="V4" s="116" t="s">
        <v>258</v>
      </c>
      <c r="W4" s="117" t="s">
        <v>259</v>
      </c>
      <c r="AA4" s="105"/>
    </row>
    <row r="5" spans="1:27" s="14" customFormat="1" ht="65.099999999999994" customHeight="1" x14ac:dyDescent="0.3">
      <c r="B5" s="106" t="s">
        <v>132</v>
      </c>
      <c r="C5" s="107" t="s">
        <v>96</v>
      </c>
      <c r="D5" s="107" t="s">
        <v>96</v>
      </c>
      <c r="E5" s="108" t="s">
        <v>96</v>
      </c>
      <c r="F5" s="177" t="s">
        <v>256</v>
      </c>
      <c r="G5" s="177" t="s">
        <v>96</v>
      </c>
      <c r="H5" s="177" t="s">
        <v>249</v>
      </c>
      <c r="I5" s="178">
        <v>1.147</v>
      </c>
      <c r="J5" s="100">
        <v>13</v>
      </c>
      <c r="K5" s="179" t="s">
        <v>249</v>
      </c>
      <c r="L5" s="4" t="s">
        <v>260</v>
      </c>
      <c r="M5" s="4">
        <v>7.8</v>
      </c>
      <c r="N5" s="4" t="s">
        <v>249</v>
      </c>
      <c r="O5" s="180" t="s">
        <v>249</v>
      </c>
      <c r="P5" s="181" t="s">
        <v>249</v>
      </c>
      <c r="Q5" s="165" t="s">
        <v>249</v>
      </c>
      <c r="R5" s="182" t="s">
        <v>249</v>
      </c>
      <c r="S5" s="4" t="s">
        <v>249</v>
      </c>
      <c r="T5" s="4" t="s">
        <v>249</v>
      </c>
      <c r="U5" s="4" t="s">
        <v>249</v>
      </c>
      <c r="V5" s="68" t="s">
        <v>249</v>
      </c>
      <c r="W5" s="117" t="s">
        <v>261</v>
      </c>
      <c r="AA5" s="105"/>
    </row>
    <row r="6" spans="1:27" s="14" customFormat="1" ht="65.099999999999994" customHeight="1" x14ac:dyDescent="0.3">
      <c r="B6" s="106" t="s">
        <v>133</v>
      </c>
      <c r="C6" s="107" t="s">
        <v>96</v>
      </c>
      <c r="D6" s="285" t="s">
        <v>96</v>
      </c>
      <c r="E6" s="108" t="s">
        <v>96</v>
      </c>
      <c r="F6" s="177" t="s">
        <v>262</v>
      </c>
      <c r="G6" s="177" t="s">
        <v>96</v>
      </c>
      <c r="H6" s="182" t="s">
        <v>263</v>
      </c>
      <c r="I6" s="178" t="s">
        <v>249</v>
      </c>
      <c r="J6" s="4" t="s">
        <v>249</v>
      </c>
      <c r="K6" s="179">
        <v>240</v>
      </c>
      <c r="L6" s="4">
        <v>92.2</v>
      </c>
      <c r="M6" s="4" t="s">
        <v>249</v>
      </c>
      <c r="N6" s="4" t="s">
        <v>249</v>
      </c>
      <c r="O6" s="4" t="s">
        <v>249</v>
      </c>
      <c r="P6" s="4" t="s">
        <v>249</v>
      </c>
      <c r="Q6" s="165">
        <v>46.55</v>
      </c>
      <c r="R6" s="182" t="s">
        <v>249</v>
      </c>
      <c r="S6" s="4" t="s">
        <v>249</v>
      </c>
      <c r="T6" s="4" t="s">
        <v>249</v>
      </c>
      <c r="U6" s="4" t="s">
        <v>249</v>
      </c>
      <c r="V6" s="68" t="s">
        <v>249</v>
      </c>
      <c r="W6" s="117" t="s">
        <v>264</v>
      </c>
      <c r="AA6" s="105"/>
    </row>
    <row r="7" spans="1:27" s="14" customFormat="1" ht="65.099999999999994" customHeight="1" x14ac:dyDescent="0.3">
      <c r="B7" s="106" t="s">
        <v>135</v>
      </c>
      <c r="C7" s="107" t="s">
        <v>96</v>
      </c>
      <c r="D7" s="107" t="s">
        <v>96</v>
      </c>
      <c r="E7" s="108" t="s">
        <v>96</v>
      </c>
      <c r="F7" s="177" t="s">
        <v>262</v>
      </c>
      <c r="G7" s="286" t="s">
        <v>96</v>
      </c>
      <c r="H7" s="183">
        <v>998</v>
      </c>
      <c r="I7" s="178">
        <v>1</v>
      </c>
      <c r="J7" s="100">
        <v>0</v>
      </c>
      <c r="K7" s="179">
        <v>100</v>
      </c>
      <c r="L7" s="4" t="s">
        <v>249</v>
      </c>
      <c r="M7" s="4" t="s">
        <v>249</v>
      </c>
      <c r="N7" s="4" t="s">
        <v>249</v>
      </c>
      <c r="O7" s="4" t="s">
        <v>249</v>
      </c>
      <c r="P7" s="4" t="s">
        <v>249</v>
      </c>
      <c r="Q7" s="165" t="s">
        <v>249</v>
      </c>
      <c r="R7" s="182" t="s">
        <v>249</v>
      </c>
      <c r="S7" s="184" t="s">
        <v>265</v>
      </c>
      <c r="T7" s="4" t="s">
        <v>249</v>
      </c>
      <c r="U7" s="4" t="s">
        <v>249</v>
      </c>
      <c r="V7" s="68" t="s">
        <v>249</v>
      </c>
      <c r="W7" s="117" t="s">
        <v>261</v>
      </c>
      <c r="AA7" s="105"/>
    </row>
    <row r="8" spans="1:27" s="14" customFormat="1" ht="65.099999999999994" customHeight="1" x14ac:dyDescent="0.3">
      <c r="B8" s="106" t="s">
        <v>183</v>
      </c>
      <c r="C8" s="107" t="s">
        <v>96</v>
      </c>
      <c r="D8" s="107" t="s">
        <v>96</v>
      </c>
      <c r="E8" s="108" t="s">
        <v>96</v>
      </c>
      <c r="F8" s="177" t="s">
        <v>266</v>
      </c>
      <c r="G8" s="177" t="s">
        <v>96</v>
      </c>
      <c r="H8" s="183" t="s">
        <v>249</v>
      </c>
      <c r="I8" s="178" t="s">
        <v>249</v>
      </c>
      <c r="J8" s="100">
        <v>562</v>
      </c>
      <c r="K8" s="179">
        <v>1497</v>
      </c>
      <c r="L8" s="4" t="s">
        <v>249</v>
      </c>
      <c r="M8" s="4" t="s">
        <v>249</v>
      </c>
      <c r="N8" s="4" t="s">
        <v>249</v>
      </c>
      <c r="O8" s="4" t="s">
        <v>249</v>
      </c>
      <c r="P8" s="4" t="s">
        <v>249</v>
      </c>
      <c r="Q8" s="165" t="s">
        <v>249</v>
      </c>
      <c r="R8" s="182" t="s">
        <v>249</v>
      </c>
      <c r="S8" s="184" t="s">
        <v>267</v>
      </c>
      <c r="T8" s="4" t="s">
        <v>249</v>
      </c>
      <c r="U8" s="4" t="s">
        <v>249</v>
      </c>
      <c r="V8" s="4" t="s">
        <v>268</v>
      </c>
      <c r="W8" s="117" t="s">
        <v>259</v>
      </c>
      <c r="AA8" s="105"/>
    </row>
    <row r="9" spans="1:27" s="14" customFormat="1" ht="65.099999999999994" customHeight="1" x14ac:dyDescent="0.3">
      <c r="B9" s="106" t="s">
        <v>139</v>
      </c>
      <c r="C9" s="107" t="s">
        <v>96</v>
      </c>
      <c r="D9" s="107" t="s">
        <v>96</v>
      </c>
      <c r="E9" s="108" t="s">
        <v>96</v>
      </c>
      <c r="F9" s="177" t="s">
        <v>266</v>
      </c>
      <c r="G9" s="177" t="s">
        <v>96</v>
      </c>
      <c r="H9" s="182" t="s">
        <v>249</v>
      </c>
      <c r="I9" s="178">
        <v>2.5299999999999998</v>
      </c>
      <c r="J9" s="100">
        <v>854</v>
      </c>
      <c r="K9" s="179">
        <v>1600</v>
      </c>
      <c r="L9" s="4" t="s">
        <v>249</v>
      </c>
      <c r="M9" s="4" t="s">
        <v>249</v>
      </c>
      <c r="N9" s="4" t="s">
        <v>249</v>
      </c>
      <c r="O9" s="4" t="s">
        <v>249</v>
      </c>
      <c r="P9" s="4" t="s">
        <v>249</v>
      </c>
      <c r="Q9" s="165" t="s">
        <v>249</v>
      </c>
      <c r="R9" s="182" t="s">
        <v>249</v>
      </c>
      <c r="S9" s="4">
        <v>11.3</v>
      </c>
      <c r="T9" s="4" t="s">
        <v>269</v>
      </c>
      <c r="U9" s="4" t="s">
        <v>249</v>
      </c>
      <c r="V9" s="68" t="s">
        <v>249</v>
      </c>
      <c r="W9" s="117" t="s">
        <v>259</v>
      </c>
      <c r="AA9" s="105"/>
    </row>
    <row r="10" spans="1:27" s="14" customFormat="1" ht="65.099999999999994" customHeight="1" x14ac:dyDescent="0.3">
      <c r="B10" s="106" t="s">
        <v>184</v>
      </c>
      <c r="C10" s="107" t="s">
        <v>96</v>
      </c>
      <c r="D10" s="107" t="s">
        <v>96</v>
      </c>
      <c r="E10" s="108" t="s">
        <v>96</v>
      </c>
      <c r="F10" s="177" t="s">
        <v>256</v>
      </c>
      <c r="G10" s="177" t="s">
        <v>96</v>
      </c>
      <c r="H10" s="177" t="s">
        <v>249</v>
      </c>
      <c r="I10" s="177" t="s">
        <v>249</v>
      </c>
      <c r="J10" s="177" t="s">
        <v>249</v>
      </c>
      <c r="K10" s="177" t="s">
        <v>249</v>
      </c>
      <c r="L10" s="177" t="s">
        <v>249</v>
      </c>
      <c r="M10" s="177" t="s">
        <v>249</v>
      </c>
      <c r="N10" s="177" t="s">
        <v>249</v>
      </c>
      <c r="O10" s="177" t="s">
        <v>249</v>
      </c>
      <c r="P10" s="177" t="s">
        <v>249</v>
      </c>
      <c r="Q10" s="177" t="s">
        <v>249</v>
      </c>
      <c r="R10" s="177" t="s">
        <v>249</v>
      </c>
      <c r="S10" s="177" t="s">
        <v>249</v>
      </c>
      <c r="T10" s="177" t="s">
        <v>249</v>
      </c>
      <c r="U10" s="177" t="s">
        <v>249</v>
      </c>
      <c r="V10" s="177" t="s">
        <v>249</v>
      </c>
      <c r="W10" s="117" t="s">
        <v>264</v>
      </c>
      <c r="AA10" s="105"/>
    </row>
    <row r="11" spans="1:27" s="14" customFormat="1" ht="65.099999999999994" customHeight="1" x14ac:dyDescent="0.3">
      <c r="B11" s="106" t="s">
        <v>185</v>
      </c>
      <c r="C11" s="107" t="s">
        <v>96</v>
      </c>
      <c r="D11" s="107" t="s">
        <v>96</v>
      </c>
      <c r="E11" s="108" t="s">
        <v>96</v>
      </c>
      <c r="F11" s="177" t="s">
        <v>266</v>
      </c>
      <c r="G11" s="177" t="s">
        <v>96</v>
      </c>
      <c r="H11" s="183" t="s">
        <v>249</v>
      </c>
      <c r="I11" s="178">
        <v>1.1499999999999999</v>
      </c>
      <c r="J11" s="4" t="s">
        <v>270</v>
      </c>
      <c r="K11" s="179" t="s">
        <v>249</v>
      </c>
      <c r="L11" s="4" t="s">
        <v>249</v>
      </c>
      <c r="M11" s="4" t="s">
        <v>249</v>
      </c>
      <c r="N11" s="4" t="s">
        <v>249</v>
      </c>
      <c r="O11" s="177" t="s">
        <v>249</v>
      </c>
      <c r="P11" s="177" t="s">
        <v>249</v>
      </c>
      <c r="Q11" s="177" t="s">
        <v>249</v>
      </c>
      <c r="R11" s="177" t="s">
        <v>249</v>
      </c>
      <c r="S11" s="4" t="s">
        <v>249</v>
      </c>
      <c r="T11" s="185">
        <v>0.01</v>
      </c>
      <c r="U11" s="4" t="s">
        <v>249</v>
      </c>
      <c r="V11" s="68" t="s">
        <v>249</v>
      </c>
      <c r="W11" s="117" t="s">
        <v>261</v>
      </c>
      <c r="AA11" s="105"/>
    </row>
    <row r="12" spans="1:27" s="14" customFormat="1" ht="65.099999999999994" customHeight="1" x14ac:dyDescent="0.3">
      <c r="B12" s="106" t="s">
        <v>136</v>
      </c>
      <c r="C12" s="107" t="s">
        <v>96</v>
      </c>
      <c r="D12" s="107" t="s">
        <v>96</v>
      </c>
      <c r="E12" s="108" t="s">
        <v>96</v>
      </c>
      <c r="F12" s="177" t="s">
        <v>256</v>
      </c>
      <c r="G12" s="177" t="s">
        <v>96</v>
      </c>
      <c r="H12" s="183" t="s">
        <v>249</v>
      </c>
      <c r="I12" s="178">
        <v>1.1000000000000001</v>
      </c>
      <c r="J12" s="4" t="s">
        <v>249</v>
      </c>
      <c r="K12" s="179" t="s">
        <v>249</v>
      </c>
      <c r="L12" s="4" t="s">
        <v>249</v>
      </c>
      <c r="M12" s="4">
        <v>2.57</v>
      </c>
      <c r="N12" s="4" t="s">
        <v>249</v>
      </c>
      <c r="O12" s="177" t="s">
        <v>249</v>
      </c>
      <c r="P12" s="177" t="s">
        <v>249</v>
      </c>
      <c r="Q12" s="177" t="s">
        <v>249</v>
      </c>
      <c r="R12" s="177" t="s">
        <v>249</v>
      </c>
      <c r="S12" s="4">
        <v>12.52</v>
      </c>
      <c r="T12" s="4" t="s">
        <v>271</v>
      </c>
      <c r="U12" s="4" t="s">
        <v>249</v>
      </c>
      <c r="V12" s="68" t="s">
        <v>249</v>
      </c>
      <c r="W12" s="117" t="s">
        <v>261</v>
      </c>
      <c r="AA12" s="105"/>
    </row>
    <row r="13" spans="1:27" s="14" customFormat="1" ht="65.099999999999994" customHeight="1" x14ac:dyDescent="0.3">
      <c r="B13" s="106" t="s">
        <v>142</v>
      </c>
      <c r="C13" s="107" t="s">
        <v>96</v>
      </c>
      <c r="D13" s="107" t="s">
        <v>96</v>
      </c>
      <c r="E13" s="108" t="s">
        <v>96</v>
      </c>
      <c r="F13" s="177" t="s">
        <v>256</v>
      </c>
      <c r="G13" s="177" t="s">
        <v>96</v>
      </c>
      <c r="H13" s="183">
        <v>1051</v>
      </c>
      <c r="I13" s="178">
        <v>1.048</v>
      </c>
      <c r="J13" s="4" t="s">
        <v>272</v>
      </c>
      <c r="K13" s="179" t="s">
        <v>273</v>
      </c>
      <c r="L13" s="4">
        <v>40</v>
      </c>
      <c r="M13" s="4">
        <v>2.1</v>
      </c>
      <c r="N13" s="4">
        <v>427</v>
      </c>
      <c r="O13" s="177" t="s">
        <v>249</v>
      </c>
      <c r="P13" s="177" t="s">
        <v>249</v>
      </c>
      <c r="Q13" s="177" t="s">
        <v>249</v>
      </c>
      <c r="R13" s="177" t="s">
        <v>249</v>
      </c>
      <c r="S13" s="4" t="s">
        <v>274</v>
      </c>
      <c r="T13" s="4" t="s">
        <v>271</v>
      </c>
      <c r="U13" s="4" t="s">
        <v>275</v>
      </c>
      <c r="V13" s="68" t="s">
        <v>276</v>
      </c>
      <c r="W13" s="117" t="s">
        <v>261</v>
      </c>
      <c r="AA13" s="105"/>
    </row>
    <row r="14" spans="1:27" s="14" customFormat="1" ht="65.099999999999994" customHeight="1" x14ac:dyDescent="0.3">
      <c r="B14" s="106" t="s">
        <v>137</v>
      </c>
      <c r="C14" s="107" t="s">
        <v>96</v>
      </c>
      <c r="D14" s="107" t="s">
        <v>96</v>
      </c>
      <c r="E14" s="108" t="s">
        <v>96</v>
      </c>
      <c r="F14" s="177" t="s">
        <v>256</v>
      </c>
      <c r="G14" s="177" t="s">
        <v>96</v>
      </c>
      <c r="H14" s="183">
        <v>786</v>
      </c>
      <c r="I14" s="178">
        <v>0.78500000000000003</v>
      </c>
      <c r="J14" s="100">
        <v>-89.5</v>
      </c>
      <c r="K14" s="179" t="s">
        <v>277</v>
      </c>
      <c r="L14" s="4">
        <v>12</v>
      </c>
      <c r="M14" s="4">
        <v>2.1</v>
      </c>
      <c r="N14" s="4">
        <v>425</v>
      </c>
      <c r="O14" s="177" t="s">
        <v>249</v>
      </c>
      <c r="P14" s="177" t="s">
        <v>249</v>
      </c>
      <c r="Q14" s="177" t="s">
        <v>249</v>
      </c>
      <c r="R14" s="177" t="s">
        <v>249</v>
      </c>
      <c r="S14" s="4">
        <v>7</v>
      </c>
      <c r="T14" s="4" t="s">
        <v>278</v>
      </c>
      <c r="U14" s="4" t="s">
        <v>279</v>
      </c>
      <c r="V14" s="68" t="s">
        <v>280</v>
      </c>
      <c r="W14" s="117" t="s">
        <v>261</v>
      </c>
      <c r="AA14" s="105"/>
    </row>
    <row r="15" spans="1:27" s="14" customFormat="1" ht="65.099999999999994" customHeight="1" x14ac:dyDescent="0.3">
      <c r="B15" s="106" t="s">
        <v>186</v>
      </c>
      <c r="C15" s="107" t="s">
        <v>96</v>
      </c>
      <c r="D15" s="107" t="s">
        <v>96</v>
      </c>
      <c r="E15" s="108" t="s">
        <v>96</v>
      </c>
      <c r="F15" s="177" t="s">
        <v>249</v>
      </c>
      <c r="G15" s="177" t="s">
        <v>96</v>
      </c>
      <c r="H15" s="177" t="s">
        <v>249</v>
      </c>
      <c r="I15" s="177" t="s">
        <v>249</v>
      </c>
      <c r="J15" s="177" t="s">
        <v>249</v>
      </c>
      <c r="K15" s="177" t="s">
        <v>249</v>
      </c>
      <c r="L15" s="177" t="s">
        <v>249</v>
      </c>
      <c r="M15" s="177" t="s">
        <v>249</v>
      </c>
      <c r="N15" s="177" t="s">
        <v>249</v>
      </c>
      <c r="O15" s="177" t="s">
        <v>249</v>
      </c>
      <c r="P15" s="177" t="s">
        <v>249</v>
      </c>
      <c r="Q15" s="177" t="s">
        <v>249</v>
      </c>
      <c r="R15" s="177" t="s">
        <v>249</v>
      </c>
      <c r="S15" s="177" t="s">
        <v>249</v>
      </c>
      <c r="T15" s="177" t="s">
        <v>249</v>
      </c>
      <c r="U15" s="177" t="s">
        <v>249</v>
      </c>
      <c r="V15" s="177" t="s">
        <v>249</v>
      </c>
      <c r="W15" s="117" t="s">
        <v>261</v>
      </c>
      <c r="AA15" s="105"/>
    </row>
    <row r="16" spans="1:27" s="14" customFormat="1" ht="65.099999999999994" customHeight="1" x14ac:dyDescent="0.3">
      <c r="A16" s="118"/>
      <c r="B16" s="106" t="s">
        <v>145</v>
      </c>
      <c r="C16" s="107" t="s">
        <v>96</v>
      </c>
      <c r="D16" s="107" t="s">
        <v>96</v>
      </c>
      <c r="E16" s="108" t="s">
        <v>96</v>
      </c>
      <c r="F16" s="177" t="s">
        <v>262</v>
      </c>
      <c r="G16" s="177" t="s">
        <v>96</v>
      </c>
      <c r="H16" s="183">
        <v>1180</v>
      </c>
      <c r="I16" s="178">
        <v>1.18</v>
      </c>
      <c r="J16" s="100">
        <v>35</v>
      </c>
      <c r="K16" s="179">
        <v>57</v>
      </c>
      <c r="L16" s="4" t="s">
        <v>249</v>
      </c>
      <c r="M16" s="4">
        <v>1.27</v>
      </c>
      <c r="N16" s="4" t="s">
        <v>249</v>
      </c>
      <c r="O16" s="177" t="s">
        <v>249</v>
      </c>
      <c r="P16" s="177" t="s">
        <v>249</v>
      </c>
      <c r="Q16" s="177" t="s">
        <v>249</v>
      </c>
      <c r="R16" s="177" t="s">
        <v>249</v>
      </c>
      <c r="S16" s="4">
        <v>1</v>
      </c>
      <c r="T16" s="4" t="s">
        <v>278</v>
      </c>
      <c r="U16" s="4" t="s">
        <v>281</v>
      </c>
      <c r="V16" s="68">
        <v>125</v>
      </c>
      <c r="W16" s="117" t="s">
        <v>264</v>
      </c>
      <c r="AA16" s="105"/>
    </row>
    <row r="17" spans="1:27" s="14" customFormat="1" ht="65.099999999999994" customHeight="1" x14ac:dyDescent="0.3">
      <c r="A17" s="118"/>
      <c r="B17" s="106" t="s">
        <v>143</v>
      </c>
      <c r="C17" s="107" t="s">
        <v>96</v>
      </c>
      <c r="D17" s="107" t="s">
        <v>96</v>
      </c>
      <c r="E17" s="108" t="s">
        <v>96</v>
      </c>
      <c r="F17" s="177" t="s">
        <v>262</v>
      </c>
      <c r="G17" s="177" t="s">
        <v>96</v>
      </c>
      <c r="H17" s="183">
        <v>707</v>
      </c>
      <c r="I17" s="178">
        <v>0.71</v>
      </c>
      <c r="J17" s="100">
        <v>-50</v>
      </c>
      <c r="K17" s="179">
        <v>55</v>
      </c>
      <c r="L17" s="4">
        <v>-23</v>
      </c>
      <c r="M17" s="4" t="s">
        <v>249</v>
      </c>
      <c r="N17" s="4">
        <v>312</v>
      </c>
      <c r="O17" s="177" t="s">
        <v>249</v>
      </c>
      <c r="P17" s="177" t="s">
        <v>249</v>
      </c>
      <c r="Q17" s="177" t="s">
        <v>249</v>
      </c>
      <c r="R17" s="177" t="s">
        <v>249</v>
      </c>
      <c r="S17" s="4">
        <v>12</v>
      </c>
      <c r="T17" s="4" t="s">
        <v>271</v>
      </c>
      <c r="U17" s="4" t="s">
        <v>249</v>
      </c>
      <c r="V17" s="68">
        <v>250</v>
      </c>
      <c r="W17" s="117" t="s">
        <v>261</v>
      </c>
      <c r="AA17" s="105"/>
    </row>
    <row r="18" spans="1:27" s="14" customFormat="1" ht="65.099999999999994" customHeight="1" x14ac:dyDescent="0.3">
      <c r="A18" s="118"/>
      <c r="B18" s="106" t="s">
        <v>146</v>
      </c>
      <c r="C18" s="107" t="s">
        <v>96</v>
      </c>
      <c r="D18" s="107" t="s">
        <v>96</v>
      </c>
      <c r="E18" s="108" t="s">
        <v>96</v>
      </c>
      <c r="F18" s="177" t="s">
        <v>266</v>
      </c>
      <c r="G18" s="177" t="s">
        <v>96</v>
      </c>
      <c r="H18" s="183" t="s">
        <v>249</v>
      </c>
      <c r="I18" s="178" t="s">
        <v>249</v>
      </c>
      <c r="J18" s="100">
        <v>270</v>
      </c>
      <c r="K18" s="179" t="s">
        <v>249</v>
      </c>
      <c r="L18" s="4" t="s">
        <v>249</v>
      </c>
      <c r="M18" s="4" t="s">
        <v>249</v>
      </c>
      <c r="N18" s="4" t="s">
        <v>249</v>
      </c>
      <c r="O18" s="177" t="s">
        <v>249</v>
      </c>
      <c r="P18" s="177" t="s">
        <v>249</v>
      </c>
      <c r="Q18" s="177" t="s">
        <v>249</v>
      </c>
      <c r="R18" s="177" t="s">
        <v>249</v>
      </c>
      <c r="S18" s="4">
        <v>8.3000000000000007</v>
      </c>
      <c r="T18" s="4" t="s">
        <v>282</v>
      </c>
      <c r="U18" s="4" t="s">
        <v>249</v>
      </c>
      <c r="V18" s="68" t="s">
        <v>249</v>
      </c>
      <c r="W18" s="117" t="s">
        <v>261</v>
      </c>
      <c r="AA18" s="105"/>
    </row>
    <row r="19" spans="1:27" s="14" customFormat="1" ht="65.099999999999994" customHeight="1" x14ac:dyDescent="0.3">
      <c r="A19" s="118"/>
      <c r="B19" s="119" t="s">
        <v>187</v>
      </c>
      <c r="C19" s="107" t="s">
        <v>96</v>
      </c>
      <c r="D19" s="107" t="s">
        <v>96</v>
      </c>
      <c r="E19" s="108" t="s">
        <v>96</v>
      </c>
      <c r="F19" s="177" t="s">
        <v>266</v>
      </c>
      <c r="G19" s="177" t="s">
        <v>96</v>
      </c>
      <c r="H19" s="183" t="s">
        <v>249</v>
      </c>
      <c r="I19" s="178" t="s">
        <v>249</v>
      </c>
      <c r="J19" s="100">
        <v>318</v>
      </c>
      <c r="K19" s="179">
        <v>1390</v>
      </c>
      <c r="L19" s="4" t="s">
        <v>249</v>
      </c>
      <c r="M19" s="4" t="s">
        <v>249</v>
      </c>
      <c r="N19" s="4" t="s">
        <v>249</v>
      </c>
      <c r="O19" s="177" t="s">
        <v>249</v>
      </c>
      <c r="P19" s="177" t="s">
        <v>249</v>
      </c>
      <c r="Q19" s="177" t="s">
        <v>249</v>
      </c>
      <c r="R19" s="177" t="s">
        <v>249</v>
      </c>
      <c r="S19" s="4">
        <v>14</v>
      </c>
      <c r="T19" s="4" t="s">
        <v>249</v>
      </c>
      <c r="U19" s="4" t="s">
        <v>249</v>
      </c>
      <c r="V19" s="68" t="s">
        <v>283</v>
      </c>
      <c r="W19" s="117" t="s">
        <v>261</v>
      </c>
      <c r="AA19" s="105"/>
    </row>
    <row r="20" spans="1:27" s="14" customFormat="1" ht="65.099999999999994" customHeight="1" x14ac:dyDescent="0.3">
      <c r="A20" s="118"/>
      <c r="B20" s="119"/>
      <c r="C20" s="120"/>
      <c r="D20" s="120"/>
      <c r="E20" s="121"/>
      <c r="F20" s="120"/>
      <c r="G20" s="120"/>
      <c r="H20" s="122"/>
      <c r="I20" s="123"/>
      <c r="J20" s="124"/>
      <c r="K20" s="125"/>
      <c r="L20" s="121"/>
      <c r="M20" s="121"/>
      <c r="N20" s="121"/>
      <c r="O20" s="126"/>
      <c r="P20" s="127"/>
      <c r="Q20" s="128"/>
      <c r="R20" s="129"/>
      <c r="S20" s="121"/>
      <c r="T20" s="121"/>
      <c r="U20" s="121"/>
      <c r="V20" s="130"/>
      <c r="W20" s="131"/>
      <c r="AA20" s="105"/>
    </row>
    <row r="21" spans="1:27" s="14" customFormat="1" ht="65.099999999999994" customHeight="1" x14ac:dyDescent="0.3">
      <c r="A21" s="118"/>
      <c r="B21" s="119"/>
      <c r="C21" s="120"/>
      <c r="D21" s="120"/>
      <c r="E21" s="121"/>
      <c r="F21" s="120"/>
      <c r="G21" s="120"/>
      <c r="H21" s="122"/>
      <c r="I21" s="123"/>
      <c r="J21" s="124"/>
      <c r="K21" s="125"/>
      <c r="L21" s="121"/>
      <c r="M21" s="121"/>
      <c r="N21" s="121"/>
      <c r="O21" s="126"/>
      <c r="P21" s="127"/>
      <c r="Q21" s="128"/>
      <c r="R21" s="129"/>
      <c r="S21" s="121"/>
      <c r="T21" s="121"/>
      <c r="U21" s="121"/>
      <c r="V21" s="130"/>
      <c r="W21" s="131"/>
      <c r="AA21" s="105"/>
    </row>
    <row r="22" spans="1:27" s="14" customFormat="1" ht="65.099999999999994" customHeight="1" x14ac:dyDescent="0.3">
      <c r="A22" s="118"/>
      <c r="B22" s="119"/>
      <c r="C22" s="120"/>
      <c r="D22" s="120"/>
      <c r="E22" s="121"/>
      <c r="F22" s="120"/>
      <c r="G22" s="120"/>
      <c r="H22" s="122"/>
      <c r="I22" s="123"/>
      <c r="J22" s="124"/>
      <c r="K22" s="125"/>
      <c r="L22" s="121"/>
      <c r="M22" s="121"/>
      <c r="N22" s="121"/>
      <c r="O22" s="126"/>
      <c r="P22" s="127"/>
      <c r="Q22" s="128"/>
      <c r="R22" s="129"/>
      <c r="S22" s="121"/>
      <c r="T22" s="121"/>
      <c r="U22" s="121"/>
      <c r="V22" s="130"/>
      <c r="W22" s="131"/>
      <c r="AA22" s="105"/>
    </row>
    <row r="23" spans="1:27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spans="1:27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</row>
  </sheetData>
  <mergeCells count="1">
    <mergeCell ref="B2:W2"/>
  </mergeCells>
  <hyperlinks>
    <hyperlink ref="V8" r:id="rId1" display="1hPa@817°C" xr:uid="{00000000-0004-0000-0400-000000000000}"/>
  </hyperlinks>
  <pageMargins left="0.7" right="0.7" top="0.75" bottom="0.75" header="0.3" footer="0.3"/>
  <pageSetup scale="17" orientation="portrait" r:id="rId2"/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xx</vt:lpstr>
      <vt:lpstr>BFD</vt:lpstr>
      <vt:lpstr>Enthalpy Balance</vt:lpstr>
      <vt:lpstr>Utility Calculation</vt:lpstr>
      <vt:lpstr>RM Data</vt:lpstr>
      <vt:lpstr>BFD!Print_Area</vt:lpstr>
      <vt:lpstr>'Enthalpy Balance'!Print_Area</vt:lpstr>
      <vt:lpstr>'RM Data'!Print_Area</vt:lpstr>
      <vt:lpstr>xx!Print_Area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Gupta</dc:creator>
  <cp:lastModifiedBy>Satyam Shihora</cp:lastModifiedBy>
  <dcterms:created xsi:type="dcterms:W3CDTF">2024-05-31T05:03:37Z</dcterms:created>
  <dcterms:modified xsi:type="dcterms:W3CDTF">2026-05-03T14:35:47Z</dcterms:modified>
</cp:coreProperties>
</file>